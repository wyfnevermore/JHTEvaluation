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770" windowHeight="8370" firstSheet="1" activeTab="1"/>
  </bookViews>
  <sheets>
    <sheet name="一五部逻辑汇总" sheetId="8" state="hidden" r:id="rId1"/>
    <sheet name="报价单" sheetId="5" r:id="rId2"/>
    <sheet name="数据集合" sheetId="6" state="hidden" r:id="rId3"/>
  </sheets>
  <definedNames>
    <definedName name="_xlnm._FilterDatabase" localSheetId="2" hidden="1">数据集合!$O$1:$R$338</definedName>
    <definedName name="_xlnm.Print_Area" localSheetId="1">报价单!$A$1:$H$41</definedName>
  </definedNames>
  <calcPr calcId="144525"/>
</workbook>
</file>

<file path=xl/calcChain.xml><?xml version="1.0" encoding="utf-8"?>
<calcChain xmlns="http://schemas.openxmlformats.org/spreadsheetml/2006/main">
  <c r="H9" i="5" l="1" a="1"/>
  <c r="H9" i="5"/>
  <c r="H8" i="5" a="1"/>
  <c r="H8" i="5"/>
</calcChain>
</file>

<file path=xl/comments1.xml><?xml version="1.0" encoding="utf-8"?>
<comments xmlns="http://schemas.openxmlformats.org/spreadsheetml/2006/main">
  <authors>
    <author>作者</author>
  </authors>
  <commentList>
    <comment ref="R190" author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建议改成中文名字台灯罩</t>
        </r>
      </text>
    </comment>
  </commentList>
</comments>
</file>

<file path=xl/sharedStrings.xml><?xml version="1.0" encoding="utf-8"?>
<sst xmlns="http://schemas.openxmlformats.org/spreadsheetml/2006/main" count="910" uniqueCount="582">
  <si>
    <t>全经销贸易</t>
  </si>
  <si>
    <t>代理贸易</t>
  </si>
  <si>
    <t>分销业务</t>
  </si>
  <si>
    <t>加工生产</t>
  </si>
  <si>
    <t>床上用品类</t>
  </si>
  <si>
    <t>被子</t>
  </si>
  <si>
    <t>物料编码</t>
  </si>
  <si>
    <t>物料名称</t>
  </si>
  <si>
    <t>客户名称</t>
  </si>
  <si>
    <t>测算公式</t>
  </si>
  <si>
    <t>公司</t>
  </si>
  <si>
    <t>业务</t>
  </si>
  <si>
    <t>车间</t>
  </si>
  <si>
    <t>S/B</t>
  </si>
  <si>
    <r>
      <rPr>
        <b/>
        <sz val="10"/>
        <rFont val="宋体"/>
        <family val="3"/>
        <charset val="134"/>
      </rPr>
      <t>宽</t>
    </r>
  </si>
  <si>
    <r>
      <rPr>
        <b/>
        <sz val="10"/>
        <rFont val="宋体"/>
        <family val="3"/>
        <charset val="134"/>
      </rPr>
      <t>长</t>
    </r>
  </si>
  <si>
    <r>
      <rPr>
        <sz val="10"/>
        <rFont val="宋体"/>
        <family val="3"/>
        <charset val="134"/>
      </rPr>
      <t>小计</t>
    </r>
  </si>
  <si>
    <r>
      <rPr>
        <sz val="10"/>
        <rFont val="宋体"/>
        <family val="3"/>
        <charset val="134"/>
      </rPr>
      <t>税收</t>
    </r>
    <r>
      <rPr>
        <sz val="10"/>
        <rFont val="Tahoma"/>
        <family val="2"/>
      </rPr>
      <t>+</t>
    </r>
    <r>
      <rPr>
        <sz val="10"/>
        <rFont val="宋体"/>
        <family val="3"/>
        <charset val="134"/>
      </rPr>
      <t>利润</t>
    </r>
  </si>
  <si>
    <r>
      <rPr>
        <sz val="10"/>
        <rFont val="宋体"/>
        <family val="3"/>
        <charset val="134"/>
      </rPr>
      <t>共计（人民币）</t>
    </r>
  </si>
  <si>
    <r>
      <rPr>
        <b/>
        <sz val="10"/>
        <rFont val="Tahoma"/>
        <family val="2"/>
      </rPr>
      <t xml:space="preserve">FOB </t>
    </r>
    <r>
      <rPr>
        <b/>
        <sz val="10"/>
        <rFont val="宋体"/>
        <family val="3"/>
        <charset val="134"/>
      </rPr>
      <t>美金成本</t>
    </r>
  </si>
  <si>
    <r>
      <rPr>
        <sz val="11"/>
        <color theme="1"/>
        <rFont val="等线"/>
        <charset val="134"/>
      </rPr>
      <t xml:space="preserve">FOB </t>
    </r>
    <r>
      <rPr>
        <b/>
        <sz val="10"/>
        <rFont val="宋体"/>
        <family val="3"/>
        <charset val="134"/>
      </rPr>
      <t>人民币</t>
    </r>
    <r>
      <rPr>
        <b/>
        <sz val="10"/>
        <rFont val="宋体"/>
        <family val="3"/>
        <charset val="134"/>
      </rPr>
      <t>成本</t>
    </r>
  </si>
  <si>
    <t xml:space="preserve">JHT </t>
  </si>
  <si>
    <t>AS C</t>
  </si>
  <si>
    <t>Rebate</t>
  </si>
  <si>
    <t>TGA</t>
  </si>
  <si>
    <t>FOB 美金 报价</t>
  </si>
  <si>
    <t>FOB 人民币 报价</t>
  </si>
  <si>
    <t>执行价格</t>
  </si>
  <si>
    <t>降幅</t>
  </si>
  <si>
    <t>产品名称</t>
  </si>
  <si>
    <t>第一种料</t>
  </si>
  <si>
    <t>公式</t>
  </si>
  <si>
    <t>第二种料</t>
  </si>
  <si>
    <t>第三种料</t>
  </si>
  <si>
    <t>第四种料</t>
  </si>
  <si>
    <t>第五种料</t>
  </si>
  <si>
    <t>第六种料</t>
  </si>
  <si>
    <t>数量</t>
  </si>
  <si>
    <t>单价（配方比例）</t>
  </si>
  <si>
    <r>
      <rPr>
        <sz val="10"/>
        <rFont val="宋体"/>
        <family val="3"/>
        <charset val="134"/>
      </rPr>
      <t>商标</t>
    </r>
  </si>
  <si>
    <t>印花PE袋</t>
  </si>
  <si>
    <r>
      <rPr>
        <sz val="11"/>
        <color theme="1"/>
        <rFont val="等线"/>
        <charset val="134"/>
      </rPr>
      <t>PE</t>
    </r>
    <r>
      <rPr>
        <sz val="10"/>
        <rFont val="宋体"/>
        <family val="3"/>
        <charset val="134"/>
      </rPr>
      <t>防潮袋</t>
    </r>
  </si>
  <si>
    <t>橡筋</t>
  </si>
  <si>
    <t>防盗码贴</t>
  </si>
  <si>
    <r>
      <rPr>
        <sz val="10"/>
        <rFont val="宋体"/>
        <family val="3"/>
        <charset val="134"/>
      </rPr>
      <t>彩卡</t>
    </r>
  </si>
  <si>
    <r>
      <rPr>
        <sz val="10"/>
        <rFont val="宋体"/>
        <family val="3"/>
        <charset val="134"/>
      </rPr>
      <t>钢丝</t>
    </r>
    <r>
      <rPr>
        <sz val="10"/>
        <rFont val="Tahoma"/>
        <family val="2"/>
      </rPr>
      <t>PVC</t>
    </r>
    <r>
      <rPr>
        <sz val="10"/>
        <rFont val="宋体"/>
        <family val="3"/>
        <charset val="134"/>
      </rPr>
      <t>袋</t>
    </r>
  </si>
  <si>
    <t>箱唛贴</t>
  </si>
  <si>
    <t>拉链扎带</t>
  </si>
  <si>
    <t>PVC袋</t>
  </si>
  <si>
    <t>软包边PVC袋</t>
  </si>
  <si>
    <t>长</t>
  </si>
  <si>
    <t>宽</t>
  </si>
  <si>
    <t>高</t>
  </si>
  <si>
    <t>入箱条数</t>
  </si>
  <si>
    <t>7D多针被230gsm</t>
  </si>
  <si>
    <t>面料</t>
  </si>
  <si>
    <t>(宽+0.03)*1.03*1.04</t>
  </si>
  <si>
    <t>底料</t>
  </si>
  <si>
    <t>等于面料</t>
  </si>
  <si>
    <t>包边布</t>
  </si>
  <si>
    <t>(宽+长)*2*1.03/28</t>
  </si>
  <si>
    <t>纽襻</t>
  </si>
  <si>
    <t>0.23*4</t>
  </si>
  <si>
    <t>填充1占比90%</t>
  </si>
  <si>
    <t>填充2占比10%</t>
  </si>
  <si>
    <t>230gsm</t>
  </si>
  <si>
    <t>面料*2.24*GSM/1000</t>
  </si>
  <si>
    <t>(7.45*0.9+9.5*0.1)*1.02+3</t>
  </si>
  <si>
    <t>填写</t>
  </si>
  <si>
    <t>绗缝费</t>
  </si>
  <si>
    <t>长*宽</t>
  </si>
  <si>
    <t>加工费</t>
  </si>
  <si>
    <t>(含税合计-含税合计*0.17/1.17)/指导报价汇率+指导海运费*长*宽*高/28/入箱条数</t>
  </si>
  <si>
    <r>
      <rPr>
        <sz val="11"/>
        <color theme="1"/>
        <rFont val="等线"/>
        <charset val="134"/>
      </rPr>
      <t>(</t>
    </r>
    <r>
      <rPr>
        <sz val="10"/>
        <rFont val="宋体"/>
        <family val="3"/>
        <charset val="134"/>
      </rPr>
      <t>含税合计</t>
    </r>
    <r>
      <rPr>
        <sz val="10"/>
        <rFont val="Tahoma"/>
        <family val="2"/>
      </rPr>
      <t>-</t>
    </r>
    <r>
      <rPr>
        <sz val="10"/>
        <rFont val="宋体"/>
        <family val="3"/>
        <charset val="134"/>
      </rPr>
      <t>含税合计</t>
    </r>
    <r>
      <rPr>
        <sz val="10"/>
        <rFont val="Tahoma"/>
        <family val="2"/>
      </rPr>
      <t>*0.17/1.17)+</t>
    </r>
    <r>
      <rPr>
        <sz val="10"/>
        <rFont val="宋体"/>
        <family val="3"/>
        <charset val="134"/>
      </rPr>
      <t>指导海运费</t>
    </r>
    <r>
      <rPr>
        <sz val="10"/>
        <rFont val="Tahoma"/>
        <family val="2"/>
      </rPr>
      <t>*</t>
    </r>
    <r>
      <rPr>
        <sz val="10"/>
        <rFont val="宋体"/>
        <family val="3"/>
        <charset val="134"/>
      </rPr>
      <t>长</t>
    </r>
    <r>
      <rPr>
        <sz val="10"/>
        <rFont val="Tahoma"/>
        <family val="2"/>
      </rPr>
      <t>*</t>
    </r>
    <r>
      <rPr>
        <sz val="10"/>
        <rFont val="宋体"/>
        <family val="3"/>
        <charset val="134"/>
      </rPr>
      <t>宽</t>
    </r>
    <r>
      <rPr>
        <sz val="10"/>
        <rFont val="Tahoma"/>
        <family val="2"/>
      </rPr>
      <t>*</t>
    </r>
    <r>
      <rPr>
        <sz val="10"/>
        <rFont val="宋体"/>
        <family val="3"/>
        <charset val="134"/>
      </rPr>
      <t>高</t>
    </r>
    <r>
      <rPr>
        <sz val="10"/>
        <rFont val="Tahoma"/>
        <family val="2"/>
      </rPr>
      <t>/28/</t>
    </r>
    <r>
      <rPr>
        <sz val="10"/>
        <rFont val="宋体"/>
        <family val="3"/>
        <charset val="134"/>
      </rPr>
      <t>入箱条数</t>
    </r>
    <r>
      <rPr>
        <sz val="10"/>
        <rFont val="Tahoma"/>
        <family val="2"/>
      </rPr>
      <t>*</t>
    </r>
    <r>
      <rPr>
        <sz val="10"/>
        <rFont val="宋体"/>
        <family val="3"/>
        <charset val="134"/>
      </rPr>
      <t>指导报价汇率</t>
    </r>
  </si>
  <si>
    <t>FOB美金成本/(1-JHT毛利率)/(1-AS佣金)/(1-返点)/（1-TGA）</t>
  </si>
  <si>
    <t xml:space="preserve">FOB人民币成本/(1-JHT毛利率)/(1-AS佣金)/(1-返点)/（1-TGA） </t>
  </si>
  <si>
    <t>(执行价格-报价价格)/执行价格</t>
  </si>
  <si>
    <t>四孔被300gsm</t>
  </si>
  <si>
    <t>(宽+0.11)*1.03</t>
  </si>
  <si>
    <t>滚边布</t>
  </si>
  <si>
    <t>(宽+长)*2*1.03</t>
  </si>
  <si>
    <r>
      <rPr>
        <sz val="10"/>
        <rFont val="宋体"/>
        <family val="3"/>
        <charset val="134"/>
      </rPr>
      <t>填充</t>
    </r>
  </si>
  <si>
    <t>300gsm</t>
  </si>
  <si>
    <t>长*宽*GSM/1000*1.03</t>
  </si>
  <si>
    <r>
      <rPr>
        <sz val="10"/>
        <rFont val="宋体"/>
        <family val="3"/>
        <charset val="134"/>
      </rPr>
      <t>绗缝费</t>
    </r>
  </si>
  <si>
    <t>梳理费</t>
  </si>
  <si>
    <r>
      <rPr>
        <sz val="10"/>
        <rFont val="宋体"/>
        <family val="3"/>
        <charset val="134"/>
      </rPr>
      <t>加工费</t>
    </r>
  </si>
  <si>
    <t>梳理、绗缝和加工合并计算金额</t>
  </si>
  <si>
    <t>壳子加工费+洗标</t>
  </si>
  <si>
    <t>与滚边布和纽襻一起，合计计算加工费</t>
  </si>
  <si>
    <t>七孔被300gsm</t>
  </si>
  <si>
    <t>单针绗缝7D被300gsm</t>
  </si>
  <si>
    <t>(宽+0.07+0.08)*1.03</t>
  </si>
  <si>
    <t>包边</t>
  </si>
  <si>
    <t>填充占比100%</t>
  </si>
  <si>
    <t>添加剂</t>
  </si>
  <si>
    <t>7.45+0.015*100</t>
  </si>
  <si>
    <t>长*宽*0.3*1.03</t>
  </si>
  <si>
    <t>澳棉被275gsm</t>
  </si>
  <si>
    <t>(宽+0.03)*1.03*1.03</t>
  </si>
  <si>
    <t>275gsm</t>
  </si>
  <si>
    <t>面料*2.2*0GSM/1000</t>
  </si>
  <si>
    <t>立衬被350gsm</t>
  </si>
  <si>
    <t>(宽+0.05)*1.03</t>
  </si>
  <si>
    <t>笠高布</t>
  </si>
  <si>
    <t>(宽+长)*2*1.03/40</t>
  </si>
  <si>
    <t>350gsm</t>
  </si>
  <si>
    <t>洗标+角襻+缎带滚边+经编布笠高+壳子工费</t>
  </si>
  <si>
    <t>Feather Quilt 100%灰鸭毛被子（同布滚边）</t>
  </si>
  <si>
    <t>(宽+0.08)*1.03</t>
  </si>
  <si>
    <t>没有</t>
  </si>
  <si>
    <t>角襻</t>
  </si>
  <si>
    <t>200gsm</t>
  </si>
  <si>
    <t>加工费与其他一些费与合计计算金额</t>
  </si>
  <si>
    <t>7D床垫罩100gsm</t>
  </si>
  <si>
    <t>(宽+0.04)*1.03*1.03</t>
  </si>
  <si>
    <t>面料*2.03*0.05</t>
  </si>
  <si>
    <t>裙边</t>
  </si>
  <si>
    <t>(宽+长)*2*1.03*0.38*0.09</t>
  </si>
  <si>
    <t>100gsm</t>
  </si>
  <si>
    <t>面料*2.03*GSM/1000</t>
  </si>
  <si>
    <t>七孔床垫罩130gsm</t>
  </si>
  <si>
    <t>(宽+长)*2*1.03*1.6/4*0.12</t>
  </si>
  <si>
    <t>130gsm</t>
  </si>
  <si>
    <t>四孔床垫罩130gsm</t>
  </si>
  <si>
    <t>抗菌床垫罩150gsm</t>
  </si>
  <si>
    <t>(宽+0.03)*1.03*1.03*1.02</t>
  </si>
  <si>
    <t>面料*2.03*0.03*1.02</t>
  </si>
  <si>
    <t>(宽+长)*2*1.03*1.55/4*0.11</t>
  </si>
  <si>
    <t>TPU</t>
  </si>
  <si>
    <t>150gsm</t>
  </si>
  <si>
    <t>加工费与绗缝费合计计算金额</t>
  </si>
  <si>
    <t>澳棉床垫罩200gsm</t>
  </si>
  <si>
    <t>(宽+长)*2*1.03*1.55/4*0.12</t>
  </si>
  <si>
    <t>防水床垫罩135gsm</t>
  </si>
  <si>
    <t>(宽+0.03)*1.06</t>
  </si>
  <si>
    <t>(宽+长)*2*1.03*1.55/4*0.09</t>
  </si>
  <si>
    <t>珍珠棉床垫罩500gsm</t>
  </si>
  <si>
    <t>(宽+0.1)*1.03</t>
  </si>
  <si>
    <r>
      <rPr>
        <sz val="10"/>
        <rFont val="宋体"/>
        <family val="3"/>
        <charset val="134"/>
      </rPr>
      <t>围墙</t>
    </r>
    <r>
      <rPr>
        <sz val="10"/>
        <rFont val="Tahoma"/>
        <family val="2"/>
      </rPr>
      <t>/</t>
    </r>
    <r>
      <rPr>
        <sz val="10"/>
        <rFont val="宋体"/>
        <family val="3"/>
        <charset val="134"/>
      </rPr>
      <t>拼条布</t>
    </r>
  </si>
  <si>
    <t>(长+宽)*2*1.03*1.55/4*0.11</t>
  </si>
  <si>
    <t>500gsm</t>
  </si>
  <si>
    <t>缎带滚边+洗标+壳子加工费</t>
  </si>
  <si>
    <t>坯布</t>
  </si>
  <si>
    <t>床单套件</t>
  </si>
  <si>
    <t>枕壳</t>
  </si>
  <si>
    <t>染色</t>
  </si>
  <si>
    <t>彩卡</t>
  </si>
  <si>
    <t>衣架</t>
  </si>
  <si>
    <t>衬板</t>
  </si>
  <si>
    <t>其他</t>
  </si>
  <si>
    <t xml:space="preserve">    QUOTATION LIST</t>
  </si>
  <si>
    <t>Quotation No:</t>
  </si>
  <si>
    <t xml:space="preserve">0101 0010 C2001 </t>
  </si>
  <si>
    <t>Edition:</t>
  </si>
  <si>
    <t>Quotate Date:</t>
  </si>
  <si>
    <t>10,Oct., 2016</t>
  </si>
  <si>
    <t>Created By:</t>
  </si>
  <si>
    <t>Jini Hu</t>
  </si>
  <si>
    <t>Customer No：</t>
  </si>
  <si>
    <t>C3001</t>
  </si>
  <si>
    <t>Customer Name：</t>
  </si>
  <si>
    <t>Article No:</t>
  </si>
  <si>
    <t>TA09010149</t>
  </si>
  <si>
    <t>Article Name：</t>
  </si>
  <si>
    <t>ITEM</t>
  </si>
  <si>
    <t>Product Spec</t>
  </si>
  <si>
    <t>Size</t>
  </si>
  <si>
    <t>CNF Auckland on Oct 14,2016</t>
  </si>
  <si>
    <t>Remarks</t>
  </si>
  <si>
    <t>Winter Quilt (white cotton japara)</t>
  </si>
  <si>
    <t xml:space="preserve">Remark: The MOQ of calico fabric is about 2500m , can make approx.  3500 pcs wired calico bags. </t>
  </si>
  <si>
    <t>40% Alpaca Blend Quilt - 500gsm</t>
  </si>
  <si>
    <t>SIZE</t>
  </si>
  <si>
    <t>fabric</t>
  </si>
  <si>
    <t>40x40x133x100 white cotton Japara</t>
  </si>
  <si>
    <t>SB   140*210CM</t>
  </si>
  <si>
    <t xml:space="preserve">filling </t>
  </si>
  <si>
    <t>500gsm, 40%  Alpaca   50% 7D   10% thermaloft</t>
  </si>
  <si>
    <t>DB   180*210CM</t>
  </si>
  <si>
    <t>finish</t>
  </si>
  <si>
    <t>Square quilted, silver Satin piping, double stitching</t>
  </si>
  <si>
    <t>QB   210*210CM</t>
  </si>
  <si>
    <t>Packaging</t>
  </si>
  <si>
    <t>Calico bag with printed front panel and with grey calico fabric binding&amp;  handle, 2pcs per carton</t>
  </si>
  <si>
    <t>KB   245*210CM</t>
  </si>
  <si>
    <t>SKB  265*210CM</t>
  </si>
  <si>
    <t>Implementation Date:</t>
  </si>
  <si>
    <t>Signature:</t>
  </si>
  <si>
    <t>印花</t>
  </si>
  <si>
    <t>漂白</t>
  </si>
  <si>
    <t>内销客户</t>
  </si>
  <si>
    <t>内销-零散客户</t>
  </si>
  <si>
    <t>C1001</t>
  </si>
  <si>
    <t>业务模式选择项</t>
  </si>
  <si>
    <t>现编码</t>
  </si>
  <si>
    <t>现物料大类</t>
  </si>
  <si>
    <t>现物料中类</t>
  </si>
  <si>
    <t>亚洲客户</t>
  </si>
  <si>
    <t>亚洲-零散客户</t>
  </si>
  <si>
    <t>C2001</t>
  </si>
  <si>
    <t>TA/乳胶枕内套/60*40*10/12CM</t>
  </si>
  <si>
    <t>01</t>
  </si>
  <si>
    <t>澳洲客户</t>
  </si>
  <si>
    <t>澳洲-零散客户</t>
  </si>
  <si>
    <t>TA09050416</t>
  </si>
  <si>
    <t>TA/全涤汗布枕套/45*73CM</t>
  </si>
  <si>
    <t>02</t>
  </si>
  <si>
    <t>装饰成品面料</t>
  </si>
  <si>
    <t>0101</t>
  </si>
  <si>
    <t>全棉</t>
  </si>
  <si>
    <t>美洲客户</t>
  </si>
  <si>
    <t>美洲-零散客户</t>
  </si>
  <si>
    <t>C4001</t>
  </si>
  <si>
    <t>KM25020011</t>
  </si>
  <si>
    <t>KM/森林聚会印花/被子及被子套装</t>
  </si>
  <si>
    <t>03</t>
  </si>
  <si>
    <t>梭织成品面料</t>
  </si>
  <si>
    <t>0102</t>
  </si>
  <si>
    <t>涤棉</t>
  </si>
  <si>
    <t>欧洲客户</t>
  </si>
  <si>
    <t>欧洲-零散客户</t>
  </si>
  <si>
    <t>C5001</t>
  </si>
  <si>
    <t>KM25020012</t>
  </si>
  <si>
    <t>KM/超萌可爱印花/被子及被子套装</t>
  </si>
  <si>
    <t>04</t>
  </si>
  <si>
    <t>针织成品面料</t>
  </si>
  <si>
    <t>0103</t>
  </si>
  <si>
    <t>全涤</t>
  </si>
  <si>
    <t>新客户</t>
  </si>
  <si>
    <t>C9001</t>
  </si>
  <si>
    <t>BIG W10041129</t>
  </si>
  <si>
    <t>BIG W/500GSM珍珠棉床垫罩/90X190+35CM</t>
  </si>
  <si>
    <t>05</t>
  </si>
  <si>
    <t>无纺成品面料</t>
  </si>
  <si>
    <t>0104</t>
  </si>
  <si>
    <t>天丝</t>
  </si>
  <si>
    <t>BIG W10041130</t>
  </si>
  <si>
    <t>BIG W/500GSM珍珠棉床垫罩/137X190+35CM</t>
  </si>
  <si>
    <t>06</t>
  </si>
  <si>
    <t>特种成品面料</t>
  </si>
  <si>
    <t>0105</t>
  </si>
  <si>
    <t>天丝棉</t>
  </si>
  <si>
    <t>客户编码</t>
  </si>
  <si>
    <t>客户简称</t>
  </si>
  <si>
    <t>客户等级</t>
  </si>
  <si>
    <t>账期</t>
  </si>
  <si>
    <t>公司信用额度</t>
  </si>
  <si>
    <t>信保信用额度</t>
  </si>
  <si>
    <t>07</t>
  </si>
  <si>
    <t>填充物</t>
  </si>
  <si>
    <t>0106</t>
  </si>
  <si>
    <t>天丝涤</t>
  </si>
  <si>
    <t>BIG W DISCOUNT STORES</t>
  </si>
  <si>
    <t>BIG W</t>
  </si>
  <si>
    <t>08</t>
  </si>
  <si>
    <t>辅料类</t>
  </si>
  <si>
    <t>0107</t>
  </si>
  <si>
    <t>竹纤维</t>
  </si>
  <si>
    <t>C3002</t>
  </si>
  <si>
    <t>KMART AUSTRALIA LTD</t>
  </si>
  <si>
    <t>KMART</t>
  </si>
  <si>
    <t>09</t>
  </si>
  <si>
    <t>添加剂类</t>
  </si>
  <si>
    <t>0108</t>
  </si>
  <si>
    <t>莫代尔</t>
  </si>
  <si>
    <t>C3003</t>
  </si>
  <si>
    <t>TARGET AUSTRALIA PTY. LTD.</t>
  </si>
  <si>
    <t>TARGET</t>
  </si>
  <si>
    <t>0109</t>
  </si>
  <si>
    <t>全麻</t>
  </si>
  <si>
    <t>海运费报价指导价</t>
  </si>
  <si>
    <t>汇率报价指导价</t>
  </si>
  <si>
    <t>11</t>
  </si>
  <si>
    <t>0110</t>
  </si>
  <si>
    <t>麻棉</t>
  </si>
  <si>
    <t>测算逻辑1</t>
  </si>
  <si>
    <t>报价当月指导价</t>
  </si>
  <si>
    <t>12</t>
  </si>
  <si>
    <t>窗帘类</t>
  </si>
  <si>
    <t>0111</t>
  </si>
  <si>
    <t>麻粘</t>
  </si>
  <si>
    <t>枕头</t>
  </si>
  <si>
    <t>测算逻辑2!A1</t>
  </si>
  <si>
    <t>13</t>
  </si>
  <si>
    <t>婴儿用品类</t>
  </si>
  <si>
    <t>0112</t>
  </si>
  <si>
    <t>色织</t>
  </si>
  <si>
    <t>靠垫</t>
  </si>
  <si>
    <t>14</t>
  </si>
  <si>
    <t>软家装类</t>
  </si>
  <si>
    <t>0113</t>
  </si>
  <si>
    <t>涤粘</t>
  </si>
  <si>
    <t>床垫</t>
  </si>
  <si>
    <t>常规备库原材料指导价</t>
  </si>
  <si>
    <t>0114</t>
  </si>
  <si>
    <t>棉氨</t>
  </si>
  <si>
    <t>被壳</t>
  </si>
  <si>
    <t>21</t>
  </si>
  <si>
    <t>毛巾绒毯类</t>
  </si>
  <si>
    <t>0199</t>
  </si>
  <si>
    <t>22</t>
  </si>
  <si>
    <t>厨房类</t>
  </si>
  <si>
    <t>靠垫壳</t>
  </si>
  <si>
    <t>23</t>
  </si>
  <si>
    <t>餐桌类</t>
  </si>
  <si>
    <t>0201</t>
  </si>
  <si>
    <t>梭织提花</t>
  </si>
  <si>
    <t>床垫壳</t>
  </si>
  <si>
    <t>24</t>
  </si>
  <si>
    <t>灯具类</t>
  </si>
  <si>
    <t>0202</t>
  </si>
  <si>
    <t>梭织非提花</t>
  </si>
  <si>
    <t>床垫罩</t>
  </si>
  <si>
    <t>25</t>
  </si>
  <si>
    <t>洗衣房类</t>
  </si>
  <si>
    <t>0203</t>
  </si>
  <si>
    <t>针织提花</t>
  </si>
  <si>
    <t>枕头防护套</t>
  </si>
  <si>
    <t>26</t>
  </si>
  <si>
    <t>卫浴类</t>
  </si>
  <si>
    <t>0204</t>
  </si>
  <si>
    <t>针织非提花</t>
  </si>
  <si>
    <t>被套套件</t>
  </si>
  <si>
    <t>27</t>
  </si>
  <si>
    <t>宠物类</t>
  </si>
  <si>
    <t>0299</t>
  </si>
  <si>
    <t>28</t>
  </si>
  <si>
    <t>收纳包装类</t>
  </si>
  <si>
    <t>套装类</t>
  </si>
  <si>
    <t>29</t>
  </si>
  <si>
    <t>户外产品类</t>
  </si>
  <si>
    <t>0301</t>
  </si>
  <si>
    <t>30</t>
  </si>
  <si>
    <t>其它日用类</t>
  </si>
  <si>
    <t>0302</t>
  </si>
  <si>
    <t>0303</t>
  </si>
  <si>
    <t>窗帘</t>
  </si>
  <si>
    <t>31</t>
  </si>
  <si>
    <t>男装</t>
  </si>
  <si>
    <t>0304</t>
  </si>
  <si>
    <t>提花</t>
  </si>
  <si>
    <t>百叶窗</t>
  </si>
  <si>
    <t>32</t>
  </si>
  <si>
    <t>女装</t>
  </si>
  <si>
    <t>0305</t>
  </si>
  <si>
    <t>卷帘</t>
  </si>
  <si>
    <t>33</t>
  </si>
  <si>
    <t>童装</t>
  </si>
  <si>
    <t>0306</t>
  </si>
  <si>
    <t>涂层</t>
  </si>
  <si>
    <t>罗马帘</t>
  </si>
  <si>
    <t>34</t>
  </si>
  <si>
    <t>婴儿装</t>
  </si>
  <si>
    <t>0307</t>
  </si>
  <si>
    <t>植绒</t>
  </si>
  <si>
    <t>窗帘配件</t>
  </si>
  <si>
    <t>35</t>
  </si>
  <si>
    <t>其他服装服饰</t>
  </si>
  <si>
    <t>0308</t>
  </si>
  <si>
    <t>绣花</t>
  </si>
  <si>
    <t>窗帘半成品</t>
  </si>
  <si>
    <t>0399</t>
  </si>
  <si>
    <t>0401</t>
  </si>
  <si>
    <t>睡袋</t>
  </si>
  <si>
    <t>0402</t>
  </si>
  <si>
    <t>被子及被子套装</t>
  </si>
  <si>
    <t>0403</t>
  </si>
  <si>
    <t>野餐垫</t>
  </si>
  <si>
    <t>0404</t>
  </si>
  <si>
    <t>毛皮</t>
  </si>
  <si>
    <t>毛巾披风</t>
  </si>
  <si>
    <t>0405</t>
  </si>
  <si>
    <t>婴儿被套套件</t>
  </si>
  <si>
    <t>0406</t>
  </si>
  <si>
    <t>口水巾</t>
  </si>
  <si>
    <t>0499</t>
  </si>
  <si>
    <t>储物袋</t>
  </si>
  <si>
    <t>婴儿床单套件</t>
  </si>
  <si>
    <t>0501</t>
  </si>
  <si>
    <t>纺粘</t>
  </si>
  <si>
    <t>婴儿窗帘</t>
  </si>
  <si>
    <t>0502</t>
  </si>
  <si>
    <t>针刺</t>
  </si>
  <si>
    <t>绒毯</t>
  </si>
  <si>
    <t>0503</t>
  </si>
  <si>
    <t>水刺</t>
  </si>
  <si>
    <t>旗子</t>
  </si>
  <si>
    <t>0504</t>
  </si>
  <si>
    <t>热熔</t>
  </si>
  <si>
    <t>门档</t>
  </si>
  <si>
    <t>0505</t>
  </si>
  <si>
    <t>喷胶</t>
  </si>
  <si>
    <t>床围</t>
  </si>
  <si>
    <t>0599</t>
  </si>
  <si>
    <t>婴儿床</t>
  </si>
  <si>
    <t>0601</t>
  </si>
  <si>
    <t>复合</t>
  </si>
  <si>
    <t>毯子</t>
  </si>
  <si>
    <t>0602</t>
  </si>
  <si>
    <t>防水复合面料</t>
  </si>
  <si>
    <t>0603</t>
  </si>
  <si>
    <t>人造革</t>
  </si>
  <si>
    <t>0604</t>
  </si>
  <si>
    <t>涂层面料</t>
  </si>
  <si>
    <t>地垫</t>
  </si>
  <si>
    <t>0605</t>
  </si>
  <si>
    <t>绗缝面料</t>
  </si>
  <si>
    <t>坐垫</t>
  </si>
  <si>
    <t>0606</t>
  </si>
  <si>
    <t>PVC膜</t>
  </si>
  <si>
    <t>沙发套</t>
  </si>
  <si>
    <t>0699</t>
  </si>
  <si>
    <t>餐椅套</t>
  </si>
  <si>
    <t>海绵沙发</t>
  </si>
  <si>
    <t>0701</t>
  </si>
  <si>
    <t>涤纶纤维</t>
  </si>
  <si>
    <t>豆豆包及壳子</t>
  </si>
  <si>
    <t>0702</t>
  </si>
  <si>
    <t>羊毛纤维</t>
  </si>
  <si>
    <t>展示羊</t>
  </si>
  <si>
    <t>0703</t>
  </si>
  <si>
    <t>天丝纤维</t>
  </si>
  <si>
    <t>躺垫</t>
  </si>
  <si>
    <t>0704</t>
  </si>
  <si>
    <t>室内帐篷</t>
  </si>
  <si>
    <t>0705</t>
  </si>
  <si>
    <t>玉米纤维</t>
  </si>
  <si>
    <t>沙发带</t>
  </si>
  <si>
    <t>0706</t>
  </si>
  <si>
    <t>羽绒</t>
  </si>
  <si>
    <t>橡胶条</t>
  </si>
  <si>
    <t>0707</t>
  </si>
  <si>
    <t>蚕丝</t>
  </si>
  <si>
    <t>蚊帐</t>
  </si>
  <si>
    <t>0708</t>
  </si>
  <si>
    <t>棉</t>
  </si>
  <si>
    <t>0799</t>
  </si>
  <si>
    <t>纸箱</t>
  </si>
  <si>
    <t>彩盒</t>
  </si>
  <si>
    <t>包装袋</t>
  </si>
  <si>
    <t>吊牌</t>
  </si>
  <si>
    <t>拉链头</t>
  </si>
  <si>
    <t>纽扣</t>
  </si>
  <si>
    <t>绳带线</t>
  </si>
  <si>
    <t>贴</t>
  </si>
  <si>
    <t>标</t>
  </si>
  <si>
    <t>仓库低值易耗品</t>
  </si>
  <si>
    <t>干燥剂</t>
  </si>
  <si>
    <t>静电剂</t>
  </si>
  <si>
    <t>抗菌剂</t>
  </si>
  <si>
    <t>整理剂</t>
  </si>
  <si>
    <t>防水剂</t>
  </si>
  <si>
    <t>毛巾</t>
  </si>
  <si>
    <t>小方巾</t>
  </si>
  <si>
    <t>茶巾</t>
  </si>
  <si>
    <t>擦手巾</t>
  </si>
  <si>
    <t>擦澡巾</t>
  </si>
  <si>
    <t>毛巾产品套装</t>
  </si>
  <si>
    <t>织造毯</t>
  </si>
  <si>
    <t>绗缝毯</t>
  </si>
  <si>
    <t>电热毯</t>
  </si>
  <si>
    <t>锅</t>
  </si>
  <si>
    <t>研磨器</t>
  </si>
  <si>
    <t>刀具</t>
  </si>
  <si>
    <t>小工具</t>
  </si>
  <si>
    <t>削皮器</t>
  </si>
  <si>
    <t>储物盒（罐）</t>
  </si>
  <si>
    <t>手套</t>
  </si>
  <si>
    <t>煲垫</t>
  </si>
  <si>
    <t>围裙</t>
  </si>
  <si>
    <t>干碗垫</t>
  </si>
  <si>
    <t>烘焙用品</t>
  </si>
  <si>
    <t>菜板</t>
  </si>
  <si>
    <t>磨刀器</t>
  </si>
  <si>
    <t>桌布</t>
  </si>
  <si>
    <t>餐垫</t>
  </si>
  <si>
    <t>刀叉</t>
  </si>
  <si>
    <t>碗盘</t>
  </si>
  <si>
    <t>餐巾</t>
  </si>
  <si>
    <t>桌围</t>
  </si>
  <si>
    <t>茶具</t>
  </si>
  <si>
    <t>杯垫</t>
  </si>
  <si>
    <t>桌子</t>
  </si>
  <si>
    <t>酒具</t>
  </si>
  <si>
    <t>桌旗</t>
  </si>
  <si>
    <t>书桌灯</t>
  </si>
  <si>
    <t>装饰台灯</t>
  </si>
  <si>
    <t>落地灯</t>
  </si>
  <si>
    <t>台灯座</t>
  </si>
  <si>
    <t>LAMPSHADE</t>
  </si>
  <si>
    <t>触摸灯</t>
  </si>
  <si>
    <t>晾衣架</t>
  </si>
  <si>
    <t>洗衣篮</t>
  </si>
  <si>
    <t>洗衣袋</t>
  </si>
  <si>
    <t>浴帘</t>
  </si>
  <si>
    <t>浴袍</t>
  </si>
  <si>
    <t>卫浴用品</t>
  </si>
  <si>
    <t>烫衣板套</t>
  </si>
  <si>
    <t>猫架</t>
  </si>
  <si>
    <t>宠物牵引</t>
  </si>
  <si>
    <t>宠物服装</t>
  </si>
  <si>
    <t>宠物饰品</t>
  </si>
  <si>
    <t>宠物玩具</t>
  </si>
  <si>
    <t>宠物床</t>
  </si>
  <si>
    <t>宠物垫</t>
  </si>
  <si>
    <t>储物箱</t>
  </si>
  <si>
    <t>印花收纳盒</t>
  </si>
  <si>
    <t>储衣（被）袋</t>
  </si>
  <si>
    <t>拉圾桶</t>
  </si>
  <si>
    <t>拉圾袋</t>
  </si>
  <si>
    <t>鞋架</t>
  </si>
  <si>
    <t>首饰盒</t>
  </si>
  <si>
    <t>购物袋</t>
  </si>
  <si>
    <t>架子</t>
  </si>
  <si>
    <t>无纺布袋</t>
  </si>
  <si>
    <t>快递袋</t>
  </si>
  <si>
    <t>布袋</t>
  </si>
  <si>
    <t>折叠椅</t>
  </si>
  <si>
    <t>烧烤架</t>
  </si>
  <si>
    <t>镀锌水泥站角及三角支架</t>
  </si>
  <si>
    <t>铁板凳</t>
  </si>
  <si>
    <t>旅行包</t>
  </si>
  <si>
    <t>香腊烛</t>
  </si>
  <si>
    <t>铁支架</t>
  </si>
  <si>
    <t>钟表</t>
  </si>
  <si>
    <t>称</t>
  </si>
  <si>
    <t>镜子</t>
  </si>
  <si>
    <t>相框</t>
  </si>
  <si>
    <t>工具</t>
  </si>
  <si>
    <t>墙毯</t>
  </si>
  <si>
    <t>吸音板</t>
  </si>
  <si>
    <t>软木</t>
  </si>
  <si>
    <t>纸塑复合板</t>
  </si>
  <si>
    <t>楼梯垫</t>
  </si>
  <si>
    <t>门垫</t>
  </si>
  <si>
    <t>汽车脚垫</t>
  </si>
  <si>
    <t>热水袋</t>
  </si>
  <si>
    <t>Staff Chair</t>
  </si>
  <si>
    <t>马桶</t>
  </si>
  <si>
    <t>水具</t>
  </si>
  <si>
    <t>拖鞋</t>
  </si>
  <si>
    <t>包</t>
  </si>
  <si>
    <t>圣诞系列</t>
  </si>
  <si>
    <t>柜子</t>
  </si>
  <si>
    <t>儿童床</t>
  </si>
  <si>
    <t>帆布画</t>
  </si>
  <si>
    <t>儿童小家具</t>
  </si>
  <si>
    <t>T恤</t>
  </si>
  <si>
    <t>POLO</t>
  </si>
  <si>
    <t>外套</t>
  </si>
  <si>
    <t>外裤</t>
  </si>
  <si>
    <t>内裤</t>
  </si>
  <si>
    <t>睡衣</t>
  </si>
  <si>
    <t>袜子</t>
  </si>
  <si>
    <t>棉袄</t>
  </si>
  <si>
    <t>背心</t>
  </si>
  <si>
    <t>皮带</t>
  </si>
  <si>
    <t>文胸</t>
  </si>
  <si>
    <t>打底裤</t>
  </si>
  <si>
    <t>鞋子</t>
  </si>
  <si>
    <t>紧身衣</t>
  </si>
  <si>
    <t>裙子</t>
  </si>
  <si>
    <t>衬衫</t>
  </si>
  <si>
    <t>礼服</t>
  </si>
  <si>
    <t>开襟衫</t>
  </si>
  <si>
    <t>毛衣</t>
  </si>
  <si>
    <t>套装</t>
  </si>
  <si>
    <t>上衣</t>
  </si>
  <si>
    <t>衣服裤子套装</t>
  </si>
  <si>
    <t>背带</t>
  </si>
  <si>
    <t>反穿衣</t>
  </si>
  <si>
    <t>连体衣</t>
  </si>
  <si>
    <t>帽子</t>
  </si>
  <si>
    <t>泳衣</t>
  </si>
  <si>
    <t>爬爬装</t>
  </si>
  <si>
    <t>腰包</t>
  </si>
  <si>
    <t>围巾</t>
  </si>
  <si>
    <t>儿童软体模特98cm</t>
  </si>
  <si>
    <t>儿童软体模特120cm</t>
  </si>
  <si>
    <t>成人女模特165cm</t>
  </si>
  <si>
    <t>成人男模特175cm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</si>
</sst>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&quot;US$&quot;#,##0.00;\-&quot;US$&quot;#,##0.00"/>
    <numFmt numFmtId="177" formatCode="0.00_);[Red]\(0.00\)"/>
    <numFmt numFmtId="178" formatCode="&quot;US$&quot;#,##0.00_);[Red]\(&quot;US$&quot;#,##0.00\)"/>
    <numFmt numFmtId="179" formatCode="#,##0.00_ "/>
  </numFmts>
  <fonts count="22">
    <font>
      <sz val="11"/>
      <color theme="1"/>
      <name val="等线"/>
      <charset val="134"/>
      <scheme val="minor"/>
    </font>
    <font>
      <sz val="12"/>
      <name val="宋体"/>
      <family val="3"/>
      <charset val="134"/>
    </font>
    <font>
      <u/>
      <sz val="11"/>
      <color theme="10"/>
      <name val="等线"/>
      <charset val="134"/>
      <scheme val="minor"/>
    </font>
    <font>
      <sz val="10"/>
      <name val="宋体"/>
      <family val="3"/>
      <charset val="134"/>
    </font>
    <font>
      <b/>
      <sz val="11"/>
      <color theme="1"/>
      <name val="等线"/>
      <charset val="134"/>
      <scheme val="minor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Tahoma"/>
      <family val="2"/>
    </font>
    <font>
      <b/>
      <sz val="10"/>
      <name val="宋体"/>
      <family val="3"/>
      <charset val="134"/>
    </font>
    <font>
      <b/>
      <sz val="10"/>
      <name val="Tahoma"/>
      <family val="2"/>
    </font>
    <font>
      <sz val="10"/>
      <color rgb="FFFF0000"/>
      <name val="Tahoma"/>
      <family val="2"/>
    </font>
    <font>
      <b/>
      <sz val="10"/>
      <color rgb="FFFF0000"/>
      <name val="Tahoma"/>
      <family val="2"/>
    </font>
    <font>
      <sz val="10"/>
      <name val="等线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7" fillId="0" borderId="0">
      <alignment vertical="center"/>
    </xf>
    <xf numFmtId="0" fontId="1" fillId="0" borderId="0"/>
  </cellStyleXfs>
  <cellXfs count="90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1" fillId="0" borderId="0" xfId="5" applyFont="1" applyAlignment="1">
      <alignment horizontal="left"/>
    </xf>
    <xf numFmtId="0" fontId="2" fillId="0" borderId="0" xfId="1"/>
    <xf numFmtId="57" fontId="0" fillId="0" borderId="0" xfId="0" applyNumberFormat="1"/>
    <xf numFmtId="176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12" xfId="0" applyBorder="1"/>
    <xf numFmtId="0" fontId="0" fillId="0" borderId="13" xfId="0" applyBorder="1"/>
    <xf numFmtId="0" fontId="5" fillId="5" borderId="14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178" fontId="5" fillId="5" borderId="18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178" fontId="8" fillId="0" borderId="6" xfId="0" applyNumberFormat="1" applyFon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5" fillId="5" borderId="27" xfId="0" applyFont="1" applyFill="1" applyBorder="1" applyAlignment="1">
      <alignment horizontal="center" vertical="center" wrapText="1"/>
    </xf>
    <xf numFmtId="0" fontId="0" fillId="0" borderId="29" xfId="0" applyBorder="1"/>
    <xf numFmtId="177" fontId="11" fillId="0" borderId="36" xfId="0" applyNumberFormat="1" applyFont="1" applyFill="1" applyBorder="1" applyAlignment="1" applyProtection="1">
      <alignment horizontal="center" vertical="center" wrapText="1"/>
      <protection locked="0"/>
    </xf>
    <xf numFmtId="177" fontId="14" fillId="0" borderId="36" xfId="0" applyNumberFormat="1" applyFont="1" applyFill="1" applyBorder="1" applyAlignment="1" applyProtection="1">
      <alignment horizontal="center" vertical="center" wrapText="1"/>
      <protection locked="0"/>
    </xf>
    <xf numFmtId="177" fontId="11" fillId="0" borderId="35" xfId="5" applyNumberFormat="1" applyFont="1" applyFill="1" applyBorder="1" applyAlignment="1">
      <alignment horizontal="center" vertical="center"/>
    </xf>
    <xf numFmtId="177" fontId="11" fillId="0" borderId="36" xfId="5" applyNumberFormat="1" applyFont="1" applyFill="1" applyBorder="1" applyAlignment="1">
      <alignment horizontal="center" vertical="center"/>
    </xf>
    <xf numFmtId="177" fontId="11" fillId="0" borderId="35" xfId="5" applyNumberFormat="1" applyFont="1" applyBorder="1" applyAlignment="1">
      <alignment horizontal="center" vertical="center"/>
    </xf>
    <xf numFmtId="177" fontId="11" fillId="0" borderId="36" xfId="5" applyNumberFormat="1" applyFont="1" applyBorder="1" applyAlignment="1">
      <alignment horizontal="center" vertical="center"/>
    </xf>
    <xf numFmtId="179" fontId="13" fillId="0" borderId="35" xfId="5" applyNumberFormat="1" applyFont="1" applyFill="1" applyBorder="1" applyAlignment="1">
      <alignment horizontal="center" vertical="center"/>
    </xf>
    <xf numFmtId="9" fontId="15" fillId="0" borderId="36" xfId="2" applyFont="1" applyBorder="1" applyAlignment="1">
      <alignment horizontal="center"/>
    </xf>
    <xf numFmtId="0" fontId="3" fillId="4" borderId="1" xfId="5" applyFont="1" applyFill="1" applyBorder="1" applyAlignment="1"/>
    <xf numFmtId="177" fontId="3" fillId="0" borderId="36" xfId="5" applyNumberFormat="1" applyFont="1" applyFill="1" applyBorder="1" applyAlignment="1">
      <alignment horizontal="center" vertical="center"/>
    </xf>
    <xf numFmtId="177" fontId="13" fillId="0" borderId="30" xfId="5" applyNumberFormat="1" applyFont="1" applyBorder="1" applyAlignment="1">
      <alignment horizontal="center" vertical="center"/>
    </xf>
    <xf numFmtId="177" fontId="13" fillId="0" borderId="0" xfId="5" applyNumberFormat="1" applyFont="1" applyBorder="1" applyAlignment="1">
      <alignment horizontal="center" vertical="center"/>
    </xf>
    <xf numFmtId="177" fontId="13" fillId="0" borderId="33" xfId="5" applyNumberFormat="1" applyFont="1" applyBorder="1" applyAlignment="1">
      <alignment horizontal="center" vertical="center"/>
    </xf>
    <xf numFmtId="177" fontId="12" fillId="0" borderId="30" xfId="5" applyNumberFormat="1" applyFont="1" applyBorder="1" applyAlignment="1">
      <alignment horizontal="center" vertical="center"/>
    </xf>
    <xf numFmtId="0" fontId="3" fillId="0" borderId="0" xfId="0" applyFont="1"/>
    <xf numFmtId="0" fontId="16" fillId="0" borderId="0" xfId="0" applyFont="1"/>
    <xf numFmtId="177" fontId="11" fillId="0" borderId="0" xfId="0" applyNumberFormat="1" applyFont="1" applyFill="1" applyBorder="1" applyAlignment="1" applyProtection="1">
      <alignment horizontal="center" vertical="center"/>
      <protection locked="0"/>
    </xf>
    <xf numFmtId="177" fontId="11" fillId="0" borderId="36" xfId="0" applyNumberFormat="1" applyFont="1" applyFill="1" applyBorder="1" applyAlignment="1">
      <alignment horizontal="center" vertical="center" wrapText="1"/>
    </xf>
    <xf numFmtId="177" fontId="11" fillId="0" borderId="36" xfId="5" applyNumberFormat="1" applyFont="1" applyFill="1" applyBorder="1" applyAlignment="1">
      <alignment horizontal="center" vertical="center" wrapText="1"/>
    </xf>
    <xf numFmtId="177" fontId="3" fillId="0" borderId="0" xfId="0" applyNumberFormat="1" applyFont="1" applyFill="1" applyBorder="1" applyAlignment="1" applyProtection="1">
      <alignment horizontal="center" vertical="center"/>
      <protection locked="0"/>
    </xf>
    <xf numFmtId="177" fontId="11" fillId="0" borderId="0" xfId="5" applyNumberFormat="1" applyFont="1" applyFill="1" applyBorder="1" applyAlignment="1">
      <alignment horizontal="center" vertical="center"/>
    </xf>
    <xf numFmtId="177" fontId="3" fillId="3" borderId="30" xfId="0" applyNumberFormat="1" applyFont="1" applyFill="1" applyBorder="1" applyAlignment="1" applyProtection="1">
      <alignment horizontal="center" vertical="center"/>
    </xf>
    <xf numFmtId="177" fontId="3" fillId="3" borderId="31" xfId="0" applyNumberFormat="1" applyFont="1" applyFill="1" applyBorder="1" applyAlignment="1" applyProtection="1">
      <alignment horizontal="center" vertical="center"/>
    </xf>
    <xf numFmtId="0" fontId="0" fillId="0" borderId="0" xfId="0" applyFont="1"/>
    <xf numFmtId="9" fontId="0" fillId="0" borderId="0" xfId="0" applyNumberFormat="1"/>
    <xf numFmtId="9" fontId="15" fillId="0" borderId="36" xfId="2" applyNumberFormat="1" applyFont="1" applyFill="1" applyBorder="1" applyAlignment="1">
      <alignment horizontal="center"/>
    </xf>
    <xf numFmtId="0" fontId="0" fillId="0" borderId="0" xfId="0" quotePrefix="1"/>
    <xf numFmtId="0" fontId="0" fillId="0" borderId="0" xfId="0" quotePrefix="1" applyFill="1"/>
    <xf numFmtId="177" fontId="13" fillId="0" borderId="38" xfId="5" applyNumberFormat="1" applyFont="1" applyFill="1" applyBorder="1" applyAlignment="1">
      <alignment horizontal="center" vertical="center"/>
    </xf>
    <xf numFmtId="177" fontId="13" fillId="0" borderId="37" xfId="5" applyNumberFormat="1" applyFont="1" applyFill="1" applyBorder="1" applyAlignment="1">
      <alignment horizontal="center" vertical="center"/>
    </xf>
    <xf numFmtId="177" fontId="13" fillId="0" borderId="32" xfId="5" applyNumberFormat="1" applyFont="1" applyFill="1" applyBorder="1" applyAlignment="1">
      <alignment horizontal="center" vertical="center"/>
    </xf>
    <xf numFmtId="177" fontId="13" fillId="0" borderId="34" xfId="5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5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</cellXfs>
  <cellStyles count="6">
    <cellStyle name="s]_x000d__x000a_load=_x000d__x000a_run=_x000d__x000a_NullPort=None_x000d__x000a_device=HP LaserJet 4 Plus,HPPCL5MS,LPT1:_x000d__x000a__x000d__x000a_[Desktop]_x000d__x000a_Wallpaper=(无)_x000d__x000a_TileWallpaper=0_x000d_" xfId="3"/>
    <cellStyle name="百分比 2" xfId="2"/>
    <cellStyle name="常规" xfId="0" builtinId="0"/>
    <cellStyle name="常规 2" xfId="5"/>
    <cellStyle name="常规 2 10" xfId="4"/>
    <cellStyle name="超链接" xfId="1" builtinId="8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1</xdr:col>
      <xdr:colOff>438150</xdr:colOff>
      <xdr:row>10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9525"/>
          <a:ext cx="1381125" cy="18192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14</xdr:col>
      <xdr:colOff>457200</xdr:colOff>
      <xdr:row>28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25100" y="1809750"/>
          <a:ext cx="3200400" cy="3295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3"/>
  <sheetViews>
    <sheetView workbookViewId="0">
      <pane xSplit="4" ySplit="5" topLeftCell="S12" activePane="bottomRight" state="frozen"/>
      <selection pane="topRight"/>
      <selection pane="bottomLeft"/>
      <selection pane="bottomRight" activeCell="U25" sqref="U25"/>
    </sheetView>
  </sheetViews>
  <sheetFormatPr defaultColWidth="9" defaultRowHeight="13.5"/>
  <cols>
    <col min="5" max="5" width="21" customWidth="1"/>
    <col min="6" max="6" width="9.125" customWidth="1"/>
    <col min="7" max="7" width="21.25" customWidth="1"/>
    <col min="8" max="8" width="9.125" customWidth="1"/>
    <col min="9" max="9" width="17" customWidth="1"/>
    <col min="11" max="11" width="17" customWidth="1"/>
    <col min="15" max="15" width="13.5" customWidth="1"/>
    <col min="16" max="16" width="11.875" customWidth="1"/>
    <col min="18" max="18" width="20.5" customWidth="1"/>
    <col min="19" max="19" width="18.125" customWidth="1"/>
    <col min="40" max="40" width="32.375" customWidth="1"/>
    <col min="41" max="42" width="15.875" customWidth="1"/>
    <col min="51" max="51" width="13.125" customWidth="1"/>
    <col min="52" max="52" width="64.75" customWidth="1"/>
    <col min="53" max="53" width="12.625" customWidth="1"/>
    <col min="58" max="58" width="52.5" customWidth="1"/>
    <col min="59" max="59" width="53" customWidth="1"/>
    <col min="61" max="61" width="28.625" customWidth="1"/>
  </cols>
  <sheetData>
    <row r="1" spans="1:61">
      <c r="A1" t="s">
        <v>9</v>
      </c>
      <c r="AW1" s="57" t="s">
        <v>10</v>
      </c>
      <c r="AX1" s="57" t="s">
        <v>11</v>
      </c>
      <c r="AY1" s="58" t="s">
        <v>12</v>
      </c>
    </row>
    <row r="2" spans="1:61">
      <c r="A2" s="64" t="s">
        <v>13</v>
      </c>
      <c r="B2" s="46" t="s">
        <v>14</v>
      </c>
      <c r="C2" s="46" t="s">
        <v>15</v>
      </c>
      <c r="D2" s="47"/>
    </row>
    <row r="3" spans="1:61">
      <c r="A3" s="65"/>
      <c r="B3" s="48">
        <v>1.4</v>
      </c>
      <c r="C3" s="48">
        <v>2.1</v>
      </c>
      <c r="D3" s="47"/>
      <c r="AW3" s="38" t="s">
        <v>16</v>
      </c>
      <c r="AX3" s="38" t="s">
        <v>17</v>
      </c>
      <c r="AY3" s="40" t="s">
        <v>18</v>
      </c>
      <c r="AZ3" s="42" t="s">
        <v>19</v>
      </c>
      <c r="BA3" t="s">
        <v>20</v>
      </c>
      <c r="BB3" t="s">
        <v>21</v>
      </c>
      <c r="BC3" t="s">
        <v>22</v>
      </c>
      <c r="BD3" t="s">
        <v>23</v>
      </c>
      <c r="BE3" t="s">
        <v>24</v>
      </c>
      <c r="BF3" t="s">
        <v>25</v>
      </c>
      <c r="BG3" t="s">
        <v>26</v>
      </c>
      <c r="BH3" s="44" t="s">
        <v>27</v>
      </c>
      <c r="BI3" s="44" t="s">
        <v>28</v>
      </c>
    </row>
    <row r="4" spans="1:61" ht="14.25">
      <c r="E4" t="s">
        <v>29</v>
      </c>
      <c r="F4" t="s">
        <v>30</v>
      </c>
      <c r="G4" t="s">
        <v>31</v>
      </c>
      <c r="H4" t="s">
        <v>32</v>
      </c>
      <c r="I4" t="s">
        <v>31</v>
      </c>
      <c r="J4" t="s">
        <v>33</v>
      </c>
      <c r="M4" t="s">
        <v>34</v>
      </c>
      <c r="O4" t="s">
        <v>35</v>
      </c>
      <c r="P4" t="s">
        <v>36</v>
      </c>
      <c r="R4" t="s">
        <v>37</v>
      </c>
      <c r="S4" t="s">
        <v>38</v>
      </c>
      <c r="T4" t="s">
        <v>39</v>
      </c>
      <c r="U4" t="s">
        <v>40</v>
      </c>
      <c r="V4" t="s">
        <v>41</v>
      </c>
      <c r="W4" t="s">
        <v>42</v>
      </c>
      <c r="X4" t="s">
        <v>43</v>
      </c>
      <c r="Y4" t="s">
        <v>44</v>
      </c>
      <c r="Z4" t="s">
        <v>45</v>
      </c>
      <c r="AA4" t="s">
        <v>46</v>
      </c>
      <c r="AB4" t="s">
        <v>47</v>
      </c>
      <c r="AC4" t="s">
        <v>45</v>
      </c>
      <c r="AD4" t="s">
        <v>48</v>
      </c>
      <c r="AE4" t="s">
        <v>49</v>
      </c>
      <c r="AS4" t="s">
        <v>50</v>
      </c>
      <c r="AT4" t="s">
        <v>51</v>
      </c>
      <c r="AU4" t="s">
        <v>52</v>
      </c>
      <c r="AV4" t="s">
        <v>53</v>
      </c>
      <c r="AW4" s="39"/>
      <c r="AX4" s="39"/>
      <c r="AY4" s="41"/>
      <c r="BA4" s="59"/>
    </row>
    <row r="5" spans="1:61" ht="14.25">
      <c r="D5">
        <v>1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M5" t="s">
        <v>61</v>
      </c>
      <c r="N5" t="s">
        <v>62</v>
      </c>
      <c r="O5" s="50" t="s">
        <v>63</v>
      </c>
      <c r="P5" s="50" t="s">
        <v>64</v>
      </c>
      <c r="Q5" s="37" t="s">
        <v>65</v>
      </c>
      <c r="R5" t="s">
        <v>66</v>
      </c>
      <c r="S5" t="s">
        <v>67</v>
      </c>
      <c r="AF5" s="55"/>
      <c r="AG5" s="55"/>
      <c r="AH5" t="s">
        <v>68</v>
      </c>
      <c r="AI5" t="s">
        <v>69</v>
      </c>
      <c r="AJ5" t="s">
        <v>70</v>
      </c>
      <c r="AM5" t="s">
        <v>71</v>
      </c>
      <c r="AS5">
        <v>0.46</v>
      </c>
      <c r="AT5">
        <v>0.41</v>
      </c>
      <c r="AU5">
        <v>0.4</v>
      </c>
      <c r="AV5">
        <v>4</v>
      </c>
      <c r="AZ5" t="s">
        <v>72</v>
      </c>
      <c r="BA5" s="59" t="s">
        <v>73</v>
      </c>
      <c r="BB5" s="60">
        <v>0.16</v>
      </c>
      <c r="BC5" s="60">
        <v>0.02</v>
      </c>
      <c r="BD5" s="60">
        <v>0</v>
      </c>
      <c r="BE5" s="60"/>
      <c r="BF5" t="s">
        <v>74</v>
      </c>
      <c r="BG5" t="s">
        <v>75</v>
      </c>
      <c r="BI5" t="s">
        <v>76</v>
      </c>
    </row>
    <row r="6" spans="1:61" ht="14.25">
      <c r="D6">
        <v>3</v>
      </c>
      <c r="E6" t="s">
        <v>77</v>
      </c>
      <c r="F6" t="s">
        <v>55</v>
      </c>
      <c r="G6" t="s">
        <v>78</v>
      </c>
      <c r="H6" t="s">
        <v>57</v>
      </c>
      <c r="I6" t="s">
        <v>58</v>
      </c>
      <c r="J6" t="s">
        <v>79</v>
      </c>
      <c r="K6" t="s">
        <v>80</v>
      </c>
      <c r="M6" t="s">
        <v>61</v>
      </c>
      <c r="N6" t="s">
        <v>62</v>
      </c>
      <c r="O6" t="s">
        <v>81</v>
      </c>
      <c r="Q6" t="s">
        <v>82</v>
      </c>
      <c r="R6" t="s">
        <v>83</v>
      </c>
      <c r="V6" s="52"/>
      <c r="Y6" s="52"/>
      <c r="Z6" s="56"/>
      <c r="AA6" s="56"/>
      <c r="AB6" s="56"/>
      <c r="AC6" s="56"/>
      <c r="AD6" s="56"/>
      <c r="AE6" s="56"/>
      <c r="AF6" s="56"/>
      <c r="AG6" s="56"/>
      <c r="AI6" t="s">
        <v>84</v>
      </c>
      <c r="AK6" t="s">
        <v>85</v>
      </c>
      <c r="AM6" t="s">
        <v>86</v>
      </c>
      <c r="AN6" t="s">
        <v>87</v>
      </c>
      <c r="AO6" t="s">
        <v>88</v>
      </c>
      <c r="AP6" t="s">
        <v>89</v>
      </c>
      <c r="AS6">
        <v>0.46</v>
      </c>
      <c r="AT6">
        <v>0.46</v>
      </c>
      <c r="AU6">
        <v>0.34</v>
      </c>
      <c r="AV6">
        <v>2</v>
      </c>
      <c r="AZ6" t="s">
        <v>72</v>
      </c>
      <c r="BA6" s="59" t="s">
        <v>73</v>
      </c>
      <c r="BB6" s="60">
        <v>0.13</v>
      </c>
      <c r="BC6" s="60">
        <v>0.03</v>
      </c>
      <c r="BD6" s="60"/>
      <c r="BE6" s="60"/>
      <c r="BF6" t="s">
        <v>74</v>
      </c>
      <c r="BG6" t="s">
        <v>75</v>
      </c>
      <c r="BI6" t="s">
        <v>76</v>
      </c>
    </row>
    <row r="7" spans="1:61" ht="14.25">
      <c r="D7">
        <v>4</v>
      </c>
      <c r="E7" t="s">
        <v>90</v>
      </c>
      <c r="F7" t="s">
        <v>55</v>
      </c>
      <c r="G7" t="s">
        <v>78</v>
      </c>
      <c r="H7" t="s">
        <v>57</v>
      </c>
      <c r="I7" t="s">
        <v>58</v>
      </c>
      <c r="J7" t="s">
        <v>79</v>
      </c>
      <c r="K7" t="s">
        <v>80</v>
      </c>
      <c r="M7" t="s">
        <v>61</v>
      </c>
      <c r="N7" t="s">
        <v>62</v>
      </c>
      <c r="O7" t="s">
        <v>81</v>
      </c>
      <c r="Q7" t="s">
        <v>82</v>
      </c>
      <c r="R7" t="s">
        <v>83</v>
      </c>
      <c r="AI7" t="s">
        <v>84</v>
      </c>
      <c r="AK7" t="s">
        <v>85</v>
      </c>
      <c r="AM7" t="s">
        <v>86</v>
      </c>
      <c r="AN7" t="s">
        <v>87</v>
      </c>
      <c r="AO7" t="s">
        <v>88</v>
      </c>
      <c r="AP7" t="s">
        <v>89</v>
      </c>
      <c r="AS7">
        <v>0.46</v>
      </c>
      <c r="AT7">
        <v>0.46</v>
      </c>
      <c r="AU7">
        <v>0.34</v>
      </c>
      <c r="AV7">
        <v>2</v>
      </c>
      <c r="AZ7" t="s">
        <v>72</v>
      </c>
      <c r="BA7" s="59" t="s">
        <v>73</v>
      </c>
      <c r="BB7" s="60">
        <v>0.16</v>
      </c>
      <c r="BC7" s="60">
        <v>0.03</v>
      </c>
      <c r="BD7" s="60"/>
      <c r="BE7" s="60"/>
      <c r="BF7" t="s">
        <v>74</v>
      </c>
      <c r="BG7" t="s">
        <v>75</v>
      </c>
      <c r="BI7" t="s">
        <v>76</v>
      </c>
    </row>
    <row r="8" spans="1:61" ht="14.25">
      <c r="D8">
        <v>7</v>
      </c>
      <c r="E8" t="s">
        <v>91</v>
      </c>
      <c r="F8" t="s">
        <v>55</v>
      </c>
      <c r="G8" t="s">
        <v>92</v>
      </c>
      <c r="H8" t="s">
        <v>57</v>
      </c>
      <c r="I8" t="s">
        <v>58</v>
      </c>
      <c r="J8" t="s">
        <v>93</v>
      </c>
      <c r="K8" t="s">
        <v>60</v>
      </c>
      <c r="M8" t="s">
        <v>61</v>
      </c>
      <c r="N8" t="s">
        <v>62</v>
      </c>
      <c r="O8" s="50" t="s">
        <v>94</v>
      </c>
      <c r="P8" s="50" t="s">
        <v>95</v>
      </c>
      <c r="Q8" t="s">
        <v>82</v>
      </c>
      <c r="R8" t="s">
        <v>83</v>
      </c>
      <c r="S8" t="s">
        <v>96</v>
      </c>
      <c r="V8" s="52"/>
      <c r="AI8" t="s">
        <v>84</v>
      </c>
      <c r="AJ8" t="s">
        <v>70</v>
      </c>
      <c r="AK8" t="s">
        <v>85</v>
      </c>
      <c r="AL8" t="s">
        <v>97</v>
      </c>
      <c r="AM8" t="s">
        <v>86</v>
      </c>
      <c r="AN8" t="s">
        <v>68</v>
      </c>
      <c r="AS8">
        <v>0.46</v>
      </c>
      <c r="AT8">
        <v>0.46</v>
      </c>
      <c r="AU8">
        <v>0.28000000000000003</v>
      </c>
      <c r="AV8">
        <v>2</v>
      </c>
      <c r="AZ8" t="s">
        <v>72</v>
      </c>
      <c r="BA8" s="59" t="s">
        <v>73</v>
      </c>
      <c r="BB8" s="60">
        <v>0.17</v>
      </c>
      <c r="BC8" s="60">
        <v>0.03</v>
      </c>
      <c r="BD8" s="60"/>
      <c r="BE8" s="60"/>
      <c r="BF8" t="s">
        <v>74</v>
      </c>
      <c r="BG8" t="s">
        <v>75</v>
      </c>
      <c r="BI8" t="s">
        <v>76</v>
      </c>
    </row>
    <row r="9" spans="1:61" ht="14.25">
      <c r="D9">
        <v>9</v>
      </c>
      <c r="E9" t="s">
        <v>98</v>
      </c>
      <c r="F9" t="s">
        <v>55</v>
      </c>
      <c r="G9" t="s">
        <v>99</v>
      </c>
      <c r="H9" t="s">
        <v>57</v>
      </c>
      <c r="I9" t="s">
        <v>58</v>
      </c>
      <c r="J9" t="s">
        <v>93</v>
      </c>
      <c r="K9" t="s">
        <v>60</v>
      </c>
      <c r="M9" t="s">
        <v>61</v>
      </c>
      <c r="N9" t="s">
        <v>62</v>
      </c>
      <c r="O9" t="s">
        <v>81</v>
      </c>
      <c r="Q9" s="53" t="s">
        <v>100</v>
      </c>
      <c r="R9" t="s">
        <v>101</v>
      </c>
      <c r="AH9" t="s">
        <v>45</v>
      </c>
      <c r="AI9" t="s">
        <v>84</v>
      </c>
      <c r="AJ9" t="s">
        <v>70</v>
      </c>
      <c r="AM9" t="s">
        <v>86</v>
      </c>
      <c r="AN9" t="s">
        <v>68</v>
      </c>
      <c r="AS9">
        <v>0.46</v>
      </c>
      <c r="AT9">
        <v>0.46</v>
      </c>
      <c r="AU9">
        <v>0.15</v>
      </c>
      <c r="AV9">
        <v>2</v>
      </c>
      <c r="AZ9" t="s">
        <v>72</v>
      </c>
      <c r="BA9" s="59" t="s">
        <v>73</v>
      </c>
      <c r="BB9" s="60">
        <v>0.15</v>
      </c>
      <c r="BC9" s="60">
        <v>0.03</v>
      </c>
      <c r="BD9" s="60"/>
      <c r="BE9" s="60"/>
      <c r="BF9" t="s">
        <v>74</v>
      </c>
      <c r="BG9" t="s">
        <v>75</v>
      </c>
      <c r="BI9" t="s">
        <v>76</v>
      </c>
    </row>
    <row r="10" spans="1:61" ht="14.25" customHeight="1">
      <c r="D10">
        <v>12</v>
      </c>
      <c r="E10" t="s">
        <v>102</v>
      </c>
      <c r="F10" t="s">
        <v>55</v>
      </c>
      <c r="G10" t="s">
        <v>103</v>
      </c>
      <c r="H10" t="s">
        <v>57</v>
      </c>
      <c r="I10" t="s">
        <v>58</v>
      </c>
      <c r="J10" t="s">
        <v>104</v>
      </c>
      <c r="K10" t="s">
        <v>105</v>
      </c>
      <c r="Q10" s="36" t="s">
        <v>106</v>
      </c>
      <c r="R10" t="s">
        <v>83</v>
      </c>
      <c r="V10" s="52"/>
      <c r="AJ10" t="s">
        <v>68</v>
      </c>
      <c r="AM10" t="s">
        <v>86</v>
      </c>
      <c r="AN10" t="s">
        <v>68</v>
      </c>
      <c r="AO10" t="s">
        <v>107</v>
      </c>
      <c r="AS10">
        <v>0.46</v>
      </c>
      <c r="AT10">
        <v>0.46</v>
      </c>
      <c r="AU10">
        <v>0.23</v>
      </c>
      <c r="AV10">
        <v>2</v>
      </c>
      <c r="AZ10" t="s">
        <v>72</v>
      </c>
      <c r="BA10" s="59" t="s">
        <v>73</v>
      </c>
      <c r="BB10" s="60">
        <v>0.2</v>
      </c>
      <c r="BC10" s="60">
        <v>0.03</v>
      </c>
      <c r="BD10" s="60"/>
      <c r="BE10" s="60"/>
      <c r="BF10" t="s">
        <v>74</v>
      </c>
      <c r="BG10" t="s">
        <v>75</v>
      </c>
      <c r="BI10" t="s">
        <v>76</v>
      </c>
    </row>
    <row r="11" spans="1:61" ht="14.25">
      <c r="D11">
        <v>13</v>
      </c>
      <c r="E11" t="s">
        <v>108</v>
      </c>
      <c r="F11" t="s">
        <v>55</v>
      </c>
      <c r="G11" t="s">
        <v>109</v>
      </c>
      <c r="H11" t="s">
        <v>57</v>
      </c>
      <c r="I11" t="s">
        <v>58</v>
      </c>
      <c r="J11" t="s">
        <v>110</v>
      </c>
      <c r="M11" t="s">
        <v>111</v>
      </c>
      <c r="N11" t="s">
        <v>62</v>
      </c>
      <c r="O11" t="s">
        <v>81</v>
      </c>
      <c r="Q11" s="54" t="s">
        <v>112</v>
      </c>
      <c r="R11" t="s">
        <v>83</v>
      </c>
      <c r="V11" s="52"/>
      <c r="AM11" t="s">
        <v>86</v>
      </c>
      <c r="AN11" t="s">
        <v>113</v>
      </c>
      <c r="AS11">
        <v>0.46</v>
      </c>
      <c r="AT11">
        <v>0.46</v>
      </c>
      <c r="AU11">
        <v>0.15</v>
      </c>
      <c r="AV11">
        <v>2</v>
      </c>
      <c r="AZ11" t="s">
        <v>72</v>
      </c>
      <c r="BA11" s="59" t="s">
        <v>73</v>
      </c>
      <c r="BB11" s="60">
        <v>0.12</v>
      </c>
      <c r="BC11" s="60">
        <v>0.02</v>
      </c>
      <c r="BD11" s="60"/>
      <c r="BE11" s="60"/>
      <c r="BF11" t="s">
        <v>74</v>
      </c>
      <c r="BG11" t="s">
        <v>75</v>
      </c>
      <c r="BI11" t="s">
        <v>76</v>
      </c>
    </row>
    <row r="12" spans="1:61">
      <c r="A12" s="66" t="s">
        <v>13</v>
      </c>
      <c r="B12" s="46" t="s">
        <v>14</v>
      </c>
      <c r="C12" s="46" t="s">
        <v>15</v>
      </c>
      <c r="D12" s="49" t="s">
        <v>52</v>
      </c>
      <c r="BB12" s="60"/>
      <c r="BC12" s="60"/>
      <c r="BD12" s="60"/>
      <c r="BE12" s="60"/>
    </row>
    <row r="13" spans="1:61">
      <c r="A13" s="67"/>
      <c r="B13" s="48">
        <v>0.91</v>
      </c>
      <c r="C13" s="48">
        <v>1.9</v>
      </c>
      <c r="D13" s="48">
        <v>0.35</v>
      </c>
      <c r="BB13" s="60"/>
      <c r="BC13" s="60"/>
      <c r="BD13" s="60"/>
      <c r="BE13" s="60"/>
    </row>
    <row r="14" spans="1:61" ht="14.25">
      <c r="D14">
        <v>2</v>
      </c>
      <c r="E14" t="s">
        <v>114</v>
      </c>
      <c r="F14" t="s">
        <v>55</v>
      </c>
      <c r="G14" t="s">
        <v>115</v>
      </c>
      <c r="H14" t="s">
        <v>57</v>
      </c>
      <c r="I14" t="s">
        <v>116</v>
      </c>
      <c r="J14" t="s">
        <v>117</v>
      </c>
      <c r="K14" t="s">
        <v>118</v>
      </c>
      <c r="O14" t="s">
        <v>81</v>
      </c>
      <c r="Q14" s="54" t="s">
        <v>119</v>
      </c>
      <c r="R14" t="s">
        <v>120</v>
      </c>
      <c r="V14" s="52"/>
      <c r="AI14" t="s">
        <v>84</v>
      </c>
      <c r="AJ14" t="s">
        <v>70</v>
      </c>
      <c r="AM14" t="s">
        <v>86</v>
      </c>
      <c r="AN14" t="s">
        <v>113</v>
      </c>
      <c r="AS14">
        <v>0.32</v>
      </c>
      <c r="AT14">
        <v>0.3</v>
      </c>
      <c r="AU14">
        <v>0.28000000000000003</v>
      </c>
      <c r="AV14">
        <v>4</v>
      </c>
      <c r="AZ14" t="s">
        <v>72</v>
      </c>
      <c r="BA14" s="59" t="s">
        <v>73</v>
      </c>
      <c r="BB14" s="60">
        <v>0.13</v>
      </c>
      <c r="BC14" s="60">
        <v>0.02</v>
      </c>
      <c r="BD14" s="60">
        <v>0</v>
      </c>
      <c r="BE14" s="60"/>
    </row>
    <row r="15" spans="1:61" ht="14.25">
      <c r="D15">
        <v>5</v>
      </c>
      <c r="E15" t="s">
        <v>121</v>
      </c>
      <c r="F15" t="s">
        <v>55</v>
      </c>
      <c r="G15" t="s">
        <v>99</v>
      </c>
      <c r="H15" t="s">
        <v>57</v>
      </c>
      <c r="I15" t="s">
        <v>58</v>
      </c>
      <c r="J15" t="s">
        <v>117</v>
      </c>
      <c r="K15" t="s">
        <v>122</v>
      </c>
      <c r="O15" t="s">
        <v>81</v>
      </c>
      <c r="Q15" s="54" t="s">
        <v>123</v>
      </c>
      <c r="R15" t="s">
        <v>120</v>
      </c>
      <c r="V15" s="52"/>
      <c r="AI15" t="s">
        <v>84</v>
      </c>
      <c r="AJ15" t="s">
        <v>70</v>
      </c>
      <c r="AM15" t="s">
        <v>86</v>
      </c>
      <c r="AN15" t="s">
        <v>113</v>
      </c>
      <c r="AS15">
        <v>0.46</v>
      </c>
      <c r="AT15">
        <v>0.36</v>
      </c>
      <c r="AU15">
        <v>0.15</v>
      </c>
      <c r="AV15">
        <v>2</v>
      </c>
      <c r="AZ15" t="s">
        <v>72</v>
      </c>
      <c r="BA15" s="59" t="s">
        <v>73</v>
      </c>
      <c r="BB15" s="60">
        <v>0.19</v>
      </c>
      <c r="BC15" s="60">
        <v>0.03</v>
      </c>
      <c r="BD15" s="60"/>
      <c r="BE15" s="60"/>
    </row>
    <row r="16" spans="1:61" ht="14.25">
      <c r="D16">
        <v>6</v>
      </c>
      <c r="E16" t="s">
        <v>124</v>
      </c>
      <c r="F16" t="s">
        <v>55</v>
      </c>
      <c r="G16" t="s">
        <v>99</v>
      </c>
      <c r="H16" t="s">
        <v>57</v>
      </c>
      <c r="I16" t="s">
        <v>58</v>
      </c>
      <c r="J16" t="s">
        <v>117</v>
      </c>
      <c r="K16" t="s">
        <v>122</v>
      </c>
      <c r="O16" t="s">
        <v>81</v>
      </c>
      <c r="Q16" s="54" t="s">
        <v>123</v>
      </c>
      <c r="R16" t="s">
        <v>120</v>
      </c>
      <c r="V16" s="52"/>
      <c r="AI16" t="s">
        <v>84</v>
      </c>
      <c r="AJ16" t="s">
        <v>70</v>
      </c>
      <c r="AM16" t="s">
        <v>86</v>
      </c>
      <c r="AN16" t="s">
        <v>113</v>
      </c>
      <c r="AS16">
        <v>0.46</v>
      </c>
      <c r="AT16">
        <v>0.36</v>
      </c>
      <c r="AU16">
        <v>0.15</v>
      </c>
      <c r="AV16">
        <v>2</v>
      </c>
      <c r="AZ16" t="s">
        <v>72</v>
      </c>
      <c r="BA16" s="59" t="s">
        <v>73</v>
      </c>
      <c r="BB16" s="60">
        <v>0.15</v>
      </c>
      <c r="BC16" s="60">
        <v>0.06</v>
      </c>
      <c r="BD16" s="60">
        <v>0.03</v>
      </c>
      <c r="BE16" s="60"/>
    </row>
    <row r="17" spans="1:57" ht="14.25">
      <c r="D17">
        <v>8</v>
      </c>
      <c r="E17" t="s">
        <v>125</v>
      </c>
      <c r="F17" t="s">
        <v>55</v>
      </c>
      <c r="G17" t="s">
        <v>126</v>
      </c>
      <c r="H17" t="s">
        <v>57</v>
      </c>
      <c r="I17" t="s">
        <v>127</v>
      </c>
      <c r="J17" t="s">
        <v>117</v>
      </c>
      <c r="K17" t="s">
        <v>128</v>
      </c>
      <c r="M17" t="s">
        <v>129</v>
      </c>
      <c r="N17" t="s">
        <v>58</v>
      </c>
      <c r="O17" t="s">
        <v>81</v>
      </c>
      <c r="Q17" s="54" t="s">
        <v>130</v>
      </c>
      <c r="R17" t="s">
        <v>120</v>
      </c>
      <c r="V17" s="52"/>
      <c r="AI17" t="s">
        <v>84</v>
      </c>
      <c r="AJ17" t="s">
        <v>70</v>
      </c>
      <c r="AM17" t="s">
        <v>86</v>
      </c>
      <c r="AN17" t="s">
        <v>131</v>
      </c>
      <c r="AS17">
        <v>0.46</v>
      </c>
      <c r="AT17">
        <v>0.36</v>
      </c>
      <c r="AU17">
        <v>0.15</v>
      </c>
      <c r="AV17">
        <v>2</v>
      </c>
      <c r="AZ17" t="s">
        <v>72</v>
      </c>
      <c r="BA17" s="59" t="s">
        <v>73</v>
      </c>
      <c r="BB17" s="60">
        <v>0.15</v>
      </c>
      <c r="BC17" s="60">
        <v>0.03</v>
      </c>
      <c r="BD17" s="60"/>
      <c r="BE17" s="60"/>
    </row>
    <row r="18" spans="1:57" ht="14.25">
      <c r="D18">
        <v>10</v>
      </c>
      <c r="E18" t="s">
        <v>132</v>
      </c>
      <c r="F18" t="s">
        <v>55</v>
      </c>
      <c r="G18" t="s">
        <v>99</v>
      </c>
      <c r="H18" t="s">
        <v>57</v>
      </c>
      <c r="I18" t="s">
        <v>58</v>
      </c>
      <c r="J18" t="s">
        <v>117</v>
      </c>
      <c r="K18" t="s">
        <v>133</v>
      </c>
      <c r="O18" t="s">
        <v>81</v>
      </c>
      <c r="Q18" s="54" t="s">
        <v>112</v>
      </c>
      <c r="R18" t="s">
        <v>120</v>
      </c>
      <c r="U18" s="52"/>
      <c r="AH18" t="s">
        <v>45</v>
      </c>
      <c r="AI18" t="s">
        <v>84</v>
      </c>
      <c r="AJ18" t="s">
        <v>70</v>
      </c>
      <c r="AM18" t="s">
        <v>86</v>
      </c>
      <c r="AN18" t="s">
        <v>131</v>
      </c>
      <c r="AS18">
        <v>0.46</v>
      </c>
      <c r="AT18">
        <v>0.36</v>
      </c>
      <c r="AU18">
        <v>0.12</v>
      </c>
      <c r="AV18">
        <v>2</v>
      </c>
      <c r="AZ18" t="s">
        <v>72</v>
      </c>
      <c r="BA18" s="59" t="s">
        <v>73</v>
      </c>
      <c r="BB18" s="60">
        <v>0.18</v>
      </c>
      <c r="BC18" s="60">
        <v>0.03</v>
      </c>
      <c r="BD18" s="60"/>
      <c r="BE18" s="60"/>
    </row>
    <row r="19" spans="1:57" ht="14.25">
      <c r="D19">
        <v>14</v>
      </c>
      <c r="E19" t="s">
        <v>134</v>
      </c>
      <c r="F19" t="s">
        <v>55</v>
      </c>
      <c r="G19" t="s">
        <v>135</v>
      </c>
      <c r="H19" t="s">
        <v>110</v>
      </c>
      <c r="J19" t="s">
        <v>117</v>
      </c>
      <c r="K19" t="s">
        <v>136</v>
      </c>
      <c r="O19" t="s">
        <v>110</v>
      </c>
      <c r="V19" s="52"/>
      <c r="AM19" t="s">
        <v>86</v>
      </c>
      <c r="AN19" t="s">
        <v>113</v>
      </c>
      <c r="AS19">
        <v>0.33</v>
      </c>
      <c r="AT19">
        <v>0.28000000000000003</v>
      </c>
      <c r="AU19">
        <v>0.37</v>
      </c>
      <c r="AV19">
        <v>5</v>
      </c>
      <c r="AZ19" t="s">
        <v>72</v>
      </c>
      <c r="BA19" s="59" t="s">
        <v>73</v>
      </c>
      <c r="BB19" s="60">
        <v>0.16</v>
      </c>
      <c r="BC19" s="60">
        <v>0.03</v>
      </c>
      <c r="BD19" s="60"/>
      <c r="BE19" s="60"/>
    </row>
    <row r="20" spans="1:57">
      <c r="A20" s="64" t="s">
        <v>13</v>
      </c>
      <c r="B20" s="46" t="s">
        <v>14</v>
      </c>
      <c r="C20" s="46" t="s">
        <v>15</v>
      </c>
    </row>
    <row r="21" spans="1:57">
      <c r="A21" s="65"/>
      <c r="B21" s="48">
        <v>0.91</v>
      </c>
      <c r="C21" s="48">
        <v>1.9</v>
      </c>
      <c r="I21" t="s">
        <v>58</v>
      </c>
    </row>
    <row r="23" spans="1:57" ht="14.25">
      <c r="D23">
        <v>11</v>
      </c>
      <c r="E23" t="s">
        <v>137</v>
      </c>
      <c r="F23" t="s">
        <v>55</v>
      </c>
      <c r="G23" t="s">
        <v>138</v>
      </c>
      <c r="H23" t="s">
        <v>57</v>
      </c>
      <c r="I23" t="s">
        <v>58</v>
      </c>
      <c r="J23" s="51" t="s">
        <v>139</v>
      </c>
      <c r="K23" t="s">
        <v>128</v>
      </c>
      <c r="M23" t="s">
        <v>117</v>
      </c>
      <c r="N23" t="s">
        <v>140</v>
      </c>
      <c r="O23" t="s">
        <v>81</v>
      </c>
      <c r="Q23" s="54" t="s">
        <v>141</v>
      </c>
      <c r="R23" t="s">
        <v>83</v>
      </c>
      <c r="T23" s="45" t="s">
        <v>47</v>
      </c>
      <c r="U23" s="45" t="s">
        <v>42</v>
      </c>
      <c r="V23" s="45" t="s">
        <v>46</v>
      </c>
      <c r="W23" s="39" t="s">
        <v>44</v>
      </c>
      <c r="X23" s="39" t="s">
        <v>45</v>
      </c>
      <c r="AM23" t="s">
        <v>86</v>
      </c>
      <c r="AO23" t="s">
        <v>142</v>
      </c>
      <c r="AS23">
        <v>0.46</v>
      </c>
      <c r="AT23">
        <v>0.46</v>
      </c>
      <c r="AU23">
        <v>0.34</v>
      </c>
      <c r="AV23">
        <v>2</v>
      </c>
      <c r="AZ23" t="s">
        <v>72</v>
      </c>
      <c r="BA23" s="59" t="s">
        <v>73</v>
      </c>
      <c r="BB23" s="61">
        <v>0.16</v>
      </c>
      <c r="BC23" s="43">
        <v>0.03</v>
      </c>
    </row>
  </sheetData>
  <mergeCells count="3">
    <mergeCell ref="A2:A3"/>
    <mergeCell ref="A12:A13"/>
    <mergeCell ref="A20:A21"/>
  </mergeCells>
  <phoneticPr fontId="21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abSelected="1" workbookViewId="0">
      <selection activeCell="H36" sqref="H36"/>
    </sheetView>
  </sheetViews>
  <sheetFormatPr defaultColWidth="9" defaultRowHeight="13.5"/>
  <cols>
    <col min="1" max="2" width="12.625" customWidth="1"/>
    <col min="3" max="3" width="13.5" customWidth="1"/>
    <col min="4" max="5" width="12.625" customWidth="1"/>
    <col min="6" max="6" width="16" customWidth="1"/>
    <col min="7" max="7" width="15.125" customWidth="1"/>
    <col min="8" max="8" width="12.625" customWidth="1"/>
    <col min="9" max="9" width="18.75" customWidth="1"/>
  </cols>
  <sheetData>
    <row r="1" spans="1:14">
      <c r="A1" s="12"/>
      <c r="B1" s="13"/>
      <c r="C1" s="13"/>
      <c r="D1" s="13"/>
      <c r="E1" s="13"/>
      <c r="F1" s="13"/>
      <c r="G1" s="13"/>
      <c r="H1" s="13"/>
      <c r="I1" s="32"/>
    </row>
    <row r="2" spans="1:14">
      <c r="A2" s="14"/>
      <c r="B2" s="15"/>
      <c r="C2" s="15"/>
      <c r="D2" s="15"/>
      <c r="E2" s="15"/>
      <c r="F2" s="15"/>
      <c r="G2" s="15"/>
      <c r="H2" s="15"/>
      <c r="I2" s="33"/>
    </row>
    <row r="3" spans="1:14">
      <c r="A3" s="14"/>
      <c r="B3" s="15"/>
      <c r="C3" s="15"/>
      <c r="D3" s="15"/>
      <c r="E3" s="86" t="s">
        <v>151</v>
      </c>
      <c r="F3" s="86"/>
      <c r="G3" s="86"/>
      <c r="H3" s="86"/>
      <c r="I3" s="33"/>
    </row>
    <row r="4" spans="1:14">
      <c r="A4" s="14"/>
      <c r="B4" s="15"/>
      <c r="C4" s="15"/>
      <c r="D4" s="15"/>
      <c r="E4" s="15"/>
      <c r="F4" s="15"/>
      <c r="G4" s="15"/>
      <c r="H4" s="15"/>
      <c r="I4" s="33"/>
    </row>
    <row r="5" spans="1:14">
      <c r="A5" s="14"/>
      <c r="B5" s="15"/>
      <c r="C5" s="15" t="s">
        <v>152</v>
      </c>
      <c r="D5" s="15" t="s">
        <v>153</v>
      </c>
      <c r="F5" s="15" t="s">
        <v>154</v>
      </c>
      <c r="H5" s="16">
        <v>7</v>
      </c>
      <c r="I5" s="33"/>
    </row>
    <row r="6" spans="1:14">
      <c r="A6" s="14"/>
      <c r="B6" s="15"/>
      <c r="C6" s="15" t="s">
        <v>155</v>
      </c>
      <c r="D6" s="15" t="s">
        <v>156</v>
      </c>
      <c r="F6" s="15" t="s">
        <v>157</v>
      </c>
      <c r="H6" s="16" t="s">
        <v>158</v>
      </c>
      <c r="I6" s="33"/>
    </row>
    <row r="7" spans="1:14">
      <c r="A7" s="14"/>
      <c r="B7" s="15"/>
      <c r="C7" s="15"/>
      <c r="D7" s="15"/>
      <c r="E7" s="15"/>
      <c r="F7" s="15"/>
      <c r="G7" s="15"/>
      <c r="H7" s="15"/>
      <c r="I7" s="33"/>
    </row>
    <row r="8" spans="1:14">
      <c r="A8" s="14"/>
      <c r="B8" s="15"/>
      <c r="C8" t="s">
        <v>159</v>
      </c>
      <c r="D8" s="16" t="s">
        <v>160</v>
      </c>
      <c r="F8" s="15" t="s">
        <v>161</v>
      </c>
      <c r="H8" s="15" t="str">
        <f t="array" ref="H8">INDEX(数据集合!B9:B11,MATCH(报价单!D8,数据集合!A9:A11,0))</f>
        <v>BIG W DISCOUNT STORES</v>
      </c>
      <c r="I8" s="33"/>
    </row>
    <row r="9" spans="1:14">
      <c r="A9" s="14"/>
      <c r="B9" s="15"/>
      <c r="C9" t="s">
        <v>162</v>
      </c>
      <c r="D9" s="15" t="s">
        <v>163</v>
      </c>
      <c r="F9" s="17" t="s">
        <v>164</v>
      </c>
      <c r="H9" s="15" t="str">
        <f t="array" ref="H9">INDEX(数据集合!J2:J7,MATCH(报价单!D9,数据集合!I2:I7,0))</f>
        <v>TA/乳胶枕内套/60*40*10/12CM</v>
      </c>
      <c r="I9" s="33"/>
    </row>
    <row r="10" spans="1:14">
      <c r="A10" s="14"/>
      <c r="B10" s="15"/>
      <c r="D10" s="15"/>
      <c r="E10" s="15"/>
      <c r="F10" s="15"/>
      <c r="G10" s="15"/>
      <c r="H10" s="15"/>
      <c r="I10" s="33"/>
    </row>
    <row r="11" spans="1:14">
      <c r="A11" s="18"/>
      <c r="B11" s="19"/>
      <c r="C11" s="19"/>
      <c r="D11" s="19"/>
      <c r="E11" s="19"/>
      <c r="F11" s="19"/>
      <c r="G11" s="19"/>
      <c r="H11" s="19"/>
      <c r="I11" s="33"/>
    </row>
    <row r="12" spans="1:14" ht="63">
      <c r="A12" s="20" t="s">
        <v>165</v>
      </c>
      <c r="B12" s="87" t="s">
        <v>166</v>
      </c>
      <c r="C12" s="88"/>
      <c r="D12" s="88"/>
      <c r="E12" s="88"/>
      <c r="F12" s="89"/>
      <c r="G12" s="21" t="s">
        <v>167</v>
      </c>
      <c r="H12" s="22" t="s">
        <v>168</v>
      </c>
      <c r="I12" s="34" t="s">
        <v>169</v>
      </c>
      <c r="N12" s="15"/>
    </row>
    <row r="13" spans="1:14" ht="15.75" customHeight="1">
      <c r="A13" s="84" t="s">
        <v>170</v>
      </c>
      <c r="B13" s="85"/>
      <c r="C13" s="85"/>
      <c r="D13" s="85"/>
      <c r="E13" s="85"/>
      <c r="F13" s="85"/>
      <c r="G13" s="85"/>
      <c r="H13" s="85"/>
      <c r="I13" s="72" t="s">
        <v>171</v>
      </c>
    </row>
    <row r="14" spans="1:14" ht="12" customHeight="1">
      <c r="A14" s="69">
        <v>1</v>
      </c>
      <c r="B14" s="75" t="s">
        <v>172</v>
      </c>
      <c r="C14" s="76"/>
      <c r="D14" s="76"/>
      <c r="E14" s="76"/>
      <c r="F14" s="77"/>
      <c r="G14" s="23" t="s">
        <v>173</v>
      </c>
      <c r="H14" s="24"/>
      <c r="I14" s="73"/>
    </row>
    <row r="15" spans="1:14" ht="12" customHeight="1">
      <c r="A15" s="70"/>
      <c r="B15" s="25" t="s">
        <v>174</v>
      </c>
      <c r="C15" s="78" t="s">
        <v>175</v>
      </c>
      <c r="D15" s="78"/>
      <c r="E15" s="78"/>
      <c r="F15" s="78"/>
      <c r="G15" s="26" t="s">
        <v>176</v>
      </c>
      <c r="H15" s="24">
        <v>25.326319644179701</v>
      </c>
      <c r="I15" s="73"/>
    </row>
    <row r="16" spans="1:14" ht="12" customHeight="1">
      <c r="A16" s="70"/>
      <c r="B16" s="25" t="s">
        <v>177</v>
      </c>
      <c r="C16" s="79" t="s">
        <v>178</v>
      </c>
      <c r="D16" s="79"/>
      <c r="E16" s="79"/>
      <c r="F16" s="79"/>
      <c r="G16" s="26" t="s">
        <v>179</v>
      </c>
      <c r="H16" s="24">
        <v>30.696656733439699</v>
      </c>
      <c r="I16" s="73"/>
    </row>
    <row r="17" spans="1:9" ht="12" customHeight="1">
      <c r="A17" s="70"/>
      <c r="B17" s="27" t="s">
        <v>180</v>
      </c>
      <c r="C17" s="80" t="s">
        <v>181</v>
      </c>
      <c r="D17" s="80"/>
      <c r="E17" s="80"/>
      <c r="F17" s="80"/>
      <c r="G17" s="28" t="s">
        <v>182</v>
      </c>
      <c r="H17" s="24">
        <v>33.4</v>
      </c>
      <c r="I17" s="73"/>
    </row>
    <row r="18" spans="1:9" ht="12" customHeight="1">
      <c r="A18" s="70"/>
      <c r="B18" s="25" t="s">
        <v>183</v>
      </c>
      <c r="C18" s="81" t="s">
        <v>184</v>
      </c>
      <c r="D18" s="82"/>
      <c r="E18" s="82"/>
      <c r="F18" s="83"/>
      <c r="G18" s="26" t="s">
        <v>185</v>
      </c>
      <c r="H18" s="24">
        <v>37.76</v>
      </c>
      <c r="I18" s="73"/>
    </row>
    <row r="19" spans="1:9" ht="12" customHeight="1">
      <c r="A19" s="71"/>
      <c r="B19" s="29"/>
      <c r="C19" s="68"/>
      <c r="D19" s="68"/>
      <c r="E19" s="68"/>
      <c r="F19" s="68"/>
      <c r="G19" s="23" t="s">
        <v>186</v>
      </c>
      <c r="H19" s="30">
        <v>40.83</v>
      </c>
      <c r="I19" s="74"/>
    </row>
    <row r="20" spans="1:9" ht="12" customHeight="1">
      <c r="A20" s="84" t="s">
        <v>170</v>
      </c>
      <c r="B20" s="85"/>
      <c r="C20" s="85"/>
      <c r="D20" s="85"/>
      <c r="E20" s="85"/>
      <c r="F20" s="85"/>
      <c r="G20" s="85"/>
      <c r="H20" s="85"/>
      <c r="I20" s="72" t="s">
        <v>171</v>
      </c>
    </row>
    <row r="21" spans="1:9" ht="12" customHeight="1">
      <c r="A21" s="69">
        <v>2</v>
      </c>
      <c r="B21" s="75" t="s">
        <v>172</v>
      </c>
      <c r="C21" s="76"/>
      <c r="D21" s="76"/>
      <c r="E21" s="76"/>
      <c r="F21" s="77"/>
      <c r="G21" s="23" t="s">
        <v>173</v>
      </c>
      <c r="H21" s="24"/>
      <c r="I21" s="73"/>
    </row>
    <row r="22" spans="1:9" ht="12" customHeight="1">
      <c r="A22" s="70"/>
      <c r="B22" s="25" t="s">
        <v>174</v>
      </c>
      <c r="C22" s="78" t="s">
        <v>175</v>
      </c>
      <c r="D22" s="78"/>
      <c r="E22" s="78"/>
      <c r="F22" s="78"/>
      <c r="G22" s="26" t="s">
        <v>176</v>
      </c>
      <c r="H22" s="24">
        <v>25.326319644179701</v>
      </c>
      <c r="I22" s="73"/>
    </row>
    <row r="23" spans="1:9" ht="12" customHeight="1">
      <c r="A23" s="70"/>
      <c r="B23" s="25" t="s">
        <v>177</v>
      </c>
      <c r="C23" s="79" t="s">
        <v>178</v>
      </c>
      <c r="D23" s="79"/>
      <c r="E23" s="79"/>
      <c r="F23" s="79"/>
      <c r="G23" s="26" t="s">
        <v>179</v>
      </c>
      <c r="H23" s="24">
        <v>30.696656733439699</v>
      </c>
      <c r="I23" s="73"/>
    </row>
    <row r="24" spans="1:9" ht="12" customHeight="1">
      <c r="A24" s="70"/>
      <c r="B24" s="27" t="s">
        <v>180</v>
      </c>
      <c r="C24" s="80" t="s">
        <v>181</v>
      </c>
      <c r="D24" s="80"/>
      <c r="E24" s="80"/>
      <c r="F24" s="80"/>
      <c r="G24" s="28" t="s">
        <v>182</v>
      </c>
      <c r="H24" s="24">
        <v>33.4</v>
      </c>
      <c r="I24" s="73"/>
    </row>
    <row r="25" spans="1:9" ht="12" customHeight="1">
      <c r="A25" s="70"/>
      <c r="B25" s="25" t="s">
        <v>183</v>
      </c>
      <c r="C25" s="81" t="s">
        <v>184</v>
      </c>
      <c r="D25" s="82"/>
      <c r="E25" s="82"/>
      <c r="F25" s="83"/>
      <c r="G25" s="26" t="s">
        <v>185</v>
      </c>
      <c r="H25" s="24">
        <v>37.76</v>
      </c>
      <c r="I25" s="73"/>
    </row>
    <row r="26" spans="1:9" ht="12" customHeight="1">
      <c r="A26" s="71"/>
      <c r="B26" s="29"/>
      <c r="C26" s="68"/>
      <c r="D26" s="68"/>
      <c r="E26" s="68"/>
      <c r="F26" s="68"/>
      <c r="G26" s="23" t="s">
        <v>186</v>
      </c>
      <c r="H26" s="30">
        <v>40.83</v>
      </c>
      <c r="I26" s="74"/>
    </row>
    <row r="27" spans="1:9" ht="12" customHeight="1">
      <c r="A27" s="14"/>
      <c r="B27" s="15"/>
      <c r="C27" s="15"/>
      <c r="D27" s="15"/>
      <c r="E27" s="15"/>
      <c r="F27" s="15"/>
      <c r="G27" s="15"/>
      <c r="H27" s="15"/>
      <c r="I27" s="33"/>
    </row>
    <row r="28" spans="1:9" ht="12" customHeight="1">
      <c r="A28" s="14"/>
      <c r="B28" s="15"/>
      <c r="C28" s="15"/>
      <c r="D28" s="15"/>
      <c r="E28" s="15"/>
      <c r="F28" s="15"/>
      <c r="G28" s="15"/>
      <c r="H28" s="15"/>
      <c r="I28" s="33"/>
    </row>
    <row r="29" spans="1:9" ht="12" customHeight="1">
      <c r="A29" s="14"/>
      <c r="B29" s="15"/>
      <c r="C29" s="15"/>
      <c r="D29" s="15"/>
      <c r="E29" s="15"/>
      <c r="F29" s="15"/>
      <c r="G29" s="15"/>
      <c r="H29" s="15"/>
      <c r="I29" s="33"/>
    </row>
    <row r="30" spans="1:9" ht="12" customHeight="1">
      <c r="A30" s="14"/>
      <c r="B30" s="15"/>
      <c r="C30" s="15"/>
      <c r="D30" s="15"/>
      <c r="E30" s="15"/>
      <c r="F30" s="15"/>
      <c r="G30" s="15"/>
      <c r="H30" s="15"/>
      <c r="I30" s="33"/>
    </row>
    <row r="31" spans="1:9" ht="12" customHeight="1">
      <c r="A31" s="14"/>
      <c r="B31" s="15"/>
      <c r="C31" s="15"/>
      <c r="D31" s="15"/>
      <c r="E31" s="15"/>
      <c r="F31" s="15"/>
      <c r="G31" s="15"/>
      <c r="H31" s="15"/>
      <c r="I31" s="33"/>
    </row>
    <row r="32" spans="1:9" ht="12" customHeight="1">
      <c r="A32" s="14"/>
      <c r="B32" s="15"/>
      <c r="C32" s="15"/>
      <c r="D32" s="15"/>
      <c r="E32" s="15"/>
      <c r="F32" s="15"/>
      <c r="G32" s="15"/>
      <c r="H32" s="15"/>
      <c r="I32" s="33"/>
    </row>
    <row r="33" spans="1:9" ht="12" customHeight="1">
      <c r="A33" s="14"/>
      <c r="B33" s="15"/>
      <c r="C33" s="15"/>
      <c r="D33" s="15"/>
      <c r="E33" s="15"/>
      <c r="F33" s="15"/>
      <c r="G33" s="15"/>
      <c r="H33" s="15"/>
      <c r="I33" s="33"/>
    </row>
    <row r="34" spans="1:9" ht="12" customHeight="1">
      <c r="A34" s="14"/>
      <c r="B34" s="15"/>
      <c r="C34" s="15"/>
      <c r="D34" s="15"/>
      <c r="E34" s="15"/>
      <c r="F34" s="15"/>
      <c r="G34" s="15"/>
      <c r="H34" s="15"/>
      <c r="I34" s="33"/>
    </row>
    <row r="35" spans="1:9" ht="12" customHeight="1">
      <c r="A35" s="14"/>
      <c r="B35" s="15"/>
      <c r="C35" s="15"/>
      <c r="D35" s="15"/>
      <c r="E35" s="15"/>
      <c r="F35" s="15"/>
      <c r="G35" s="15"/>
      <c r="H35" s="15"/>
      <c r="I35" s="33"/>
    </row>
    <row r="36" spans="1:9" ht="12" customHeight="1">
      <c r="A36" s="14"/>
      <c r="B36" s="15"/>
      <c r="C36" s="15"/>
      <c r="D36" s="15"/>
      <c r="E36" s="15"/>
      <c r="F36" s="15"/>
      <c r="G36" s="15"/>
      <c r="H36" s="15"/>
      <c r="I36" s="33"/>
    </row>
    <row r="37" spans="1:9" ht="12" customHeight="1">
      <c r="A37" s="14"/>
      <c r="B37" s="15"/>
      <c r="C37" s="15"/>
      <c r="D37" s="15"/>
      <c r="E37" s="15"/>
      <c r="F37" s="15"/>
      <c r="G37" s="15"/>
      <c r="H37" s="15"/>
      <c r="I37" s="33"/>
    </row>
    <row r="38" spans="1:9" ht="12" customHeight="1">
      <c r="A38" s="14"/>
      <c r="B38" s="15" t="s">
        <v>187</v>
      </c>
      <c r="C38" s="15"/>
      <c r="D38" s="15"/>
      <c r="E38" s="15"/>
      <c r="F38" s="15" t="s">
        <v>188</v>
      </c>
      <c r="G38" s="15"/>
      <c r="H38" s="15"/>
      <c r="I38" s="33"/>
    </row>
    <row r="39" spans="1:9" ht="12" customHeight="1">
      <c r="A39" s="14"/>
      <c r="B39" s="15"/>
      <c r="C39" s="15"/>
      <c r="D39" s="15"/>
      <c r="E39" s="15"/>
      <c r="F39" s="15"/>
      <c r="G39" s="15"/>
      <c r="H39" s="15"/>
      <c r="I39" s="33"/>
    </row>
    <row r="40" spans="1:9" ht="12" customHeight="1">
      <c r="A40" s="14"/>
      <c r="B40" s="31"/>
      <c r="C40" s="15"/>
      <c r="D40" s="15"/>
      <c r="E40" s="15"/>
      <c r="F40" s="31"/>
      <c r="G40" s="15"/>
      <c r="H40" s="15"/>
      <c r="I40" s="33"/>
    </row>
    <row r="41" spans="1:9" ht="12" customHeight="1">
      <c r="A41" s="14"/>
      <c r="B41" s="15"/>
      <c r="C41" s="15"/>
      <c r="D41" s="15"/>
      <c r="E41" s="15"/>
      <c r="F41" s="15"/>
      <c r="G41" s="15"/>
      <c r="H41" s="15"/>
      <c r="I41" s="33"/>
    </row>
    <row r="42" spans="1:9" ht="12" customHeight="1">
      <c r="A42" s="14"/>
      <c r="B42" s="15"/>
      <c r="C42" s="15"/>
      <c r="D42" s="15"/>
      <c r="E42" s="15"/>
      <c r="F42" s="15"/>
      <c r="G42" s="15"/>
      <c r="H42" s="15"/>
      <c r="I42" s="33"/>
    </row>
    <row r="43" spans="1:9" ht="12" customHeight="1">
      <c r="A43" s="14"/>
      <c r="B43" s="15"/>
      <c r="C43" s="15"/>
      <c r="D43" s="15"/>
      <c r="E43" s="15"/>
      <c r="F43" s="15"/>
      <c r="G43" s="15"/>
      <c r="H43" s="15"/>
      <c r="I43" s="33"/>
    </row>
    <row r="44" spans="1:9" ht="12" customHeight="1">
      <c r="A44" s="14"/>
      <c r="B44" s="15"/>
      <c r="C44" s="15"/>
      <c r="D44" s="15"/>
      <c r="E44" s="15"/>
      <c r="F44" s="15"/>
      <c r="G44" s="15"/>
      <c r="H44" s="15"/>
      <c r="I44" s="33"/>
    </row>
    <row r="45" spans="1:9" ht="12" customHeight="1">
      <c r="A45" s="14"/>
      <c r="B45" s="15"/>
      <c r="C45" s="15"/>
      <c r="D45" s="15"/>
      <c r="E45" s="15"/>
      <c r="F45" s="15"/>
      <c r="G45" s="15"/>
      <c r="H45" s="15"/>
      <c r="I45" s="33"/>
    </row>
    <row r="46" spans="1:9" ht="12" customHeight="1">
      <c r="A46" s="18"/>
      <c r="B46" s="19"/>
      <c r="C46" s="19"/>
      <c r="D46" s="19"/>
      <c r="E46" s="19"/>
      <c r="F46" s="19"/>
      <c r="G46" s="19"/>
      <c r="H46" s="19"/>
      <c r="I46" s="35"/>
    </row>
  </sheetData>
  <mergeCells count="20">
    <mergeCell ref="E3:H3"/>
    <mergeCell ref="B12:F12"/>
    <mergeCell ref="A13:H13"/>
    <mergeCell ref="B14:F14"/>
    <mergeCell ref="C15:F15"/>
    <mergeCell ref="C26:F26"/>
    <mergeCell ref="A14:A19"/>
    <mergeCell ref="A21:A26"/>
    <mergeCell ref="I13:I19"/>
    <mergeCell ref="I20:I26"/>
    <mergeCell ref="B21:F21"/>
    <mergeCell ref="C22:F22"/>
    <mergeCell ref="C23:F23"/>
    <mergeCell ref="C24:F24"/>
    <mergeCell ref="C25:F25"/>
    <mergeCell ref="C16:F16"/>
    <mergeCell ref="C17:F17"/>
    <mergeCell ref="C18:F18"/>
    <mergeCell ref="C19:F19"/>
    <mergeCell ref="A20:H20"/>
  </mergeCells>
  <phoneticPr fontId="21" type="noConversion"/>
  <pageMargins left="0.69930555555555596" right="0.69930555555555596" top="0.75" bottom="0.75" header="0.3" footer="0.3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数据集合!C9:C36</xm:f>
          </x14:formula1>
          <xm:sqref>D8</xm:sqref>
        </x14:dataValidation>
        <x14:dataValidation type="list" allowBlank="1" showInputMessage="1" showErrorMessage="1">
          <x14:formula1>
            <xm:f>数据集合!$I$2:$I$35</xm:f>
          </x14:formula1>
          <xm:sqref>D9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34"/>
  <sheetViews>
    <sheetView topLeftCell="A4" workbookViewId="0">
      <selection activeCell="G23" sqref="G23"/>
    </sheetView>
  </sheetViews>
  <sheetFormatPr defaultColWidth="9" defaultRowHeight="13.5"/>
  <cols>
    <col min="2" max="2" width="27.75" customWidth="1"/>
    <col min="3" max="3" width="10.375" customWidth="1"/>
    <col min="4" max="4" width="10" customWidth="1"/>
    <col min="5" max="5" width="10.125" customWidth="1"/>
    <col min="6" max="7" width="13" customWidth="1"/>
    <col min="8" max="8" width="9.75" customWidth="1"/>
    <col min="9" max="9" width="15" customWidth="1"/>
    <col min="10" max="10" width="10" customWidth="1"/>
    <col min="11" max="11" width="10.125" customWidth="1"/>
    <col min="12" max="12" width="13.375" customWidth="1"/>
    <col min="13" max="13" width="11.375" customWidth="1"/>
    <col min="14" max="14" width="10.625" customWidth="1"/>
    <col min="15" max="15" width="6" customWidth="1"/>
    <col min="16" max="16" width="13" style="1" customWidth="1"/>
    <col min="18" max="18" width="13.875" customWidth="1"/>
  </cols>
  <sheetData>
    <row r="1" spans="1:18">
      <c r="A1" s="2" t="s">
        <v>191</v>
      </c>
      <c r="B1" s="2" t="s">
        <v>192</v>
      </c>
      <c r="C1" s="2" t="s">
        <v>193</v>
      </c>
      <c r="D1" s="2"/>
      <c r="E1" s="2"/>
      <c r="G1" s="2"/>
      <c r="I1" s="2" t="s">
        <v>6</v>
      </c>
      <c r="J1" s="2" t="s">
        <v>7</v>
      </c>
      <c r="L1" s="2" t="s">
        <v>194</v>
      </c>
      <c r="O1" t="s">
        <v>195</v>
      </c>
      <c r="P1" s="1" t="s">
        <v>196</v>
      </c>
      <c r="Q1" t="s">
        <v>195</v>
      </c>
      <c r="R1" t="s">
        <v>197</v>
      </c>
    </row>
    <row r="2" spans="1:18">
      <c r="A2" t="s">
        <v>198</v>
      </c>
      <c r="B2" s="2" t="s">
        <v>199</v>
      </c>
      <c r="C2" s="2" t="s">
        <v>200</v>
      </c>
      <c r="D2" s="2"/>
      <c r="E2" s="2"/>
      <c r="G2" s="2"/>
      <c r="I2" s="2" t="s">
        <v>163</v>
      </c>
      <c r="J2" t="s">
        <v>201</v>
      </c>
      <c r="L2" s="7" t="s">
        <v>0</v>
      </c>
      <c r="O2" s="8" t="s">
        <v>202</v>
      </c>
      <c r="P2" s="1" t="s">
        <v>143</v>
      </c>
    </row>
    <row r="3" spans="1:18">
      <c r="A3" s="2" t="s">
        <v>203</v>
      </c>
      <c r="B3" s="2" t="s">
        <v>204</v>
      </c>
      <c r="C3" s="2" t="s">
        <v>160</v>
      </c>
      <c r="D3" s="2"/>
      <c r="E3" s="2"/>
      <c r="G3" s="2"/>
      <c r="I3" s="2" t="s">
        <v>205</v>
      </c>
      <c r="J3" t="s">
        <v>206</v>
      </c>
      <c r="L3" s="7" t="s">
        <v>1</v>
      </c>
      <c r="O3" s="8" t="s">
        <v>207</v>
      </c>
      <c r="P3" s="1" t="s">
        <v>208</v>
      </c>
      <c r="Q3" s="62" t="s">
        <v>209</v>
      </c>
      <c r="R3" s="2" t="s">
        <v>210</v>
      </c>
    </row>
    <row r="4" spans="1:18">
      <c r="A4" s="2" t="s">
        <v>211</v>
      </c>
      <c r="B4" s="2" t="s">
        <v>212</v>
      </c>
      <c r="C4" s="2" t="s">
        <v>213</v>
      </c>
      <c r="D4" s="2"/>
      <c r="E4" s="2"/>
      <c r="G4" s="2"/>
      <c r="I4" s="2" t="s">
        <v>214</v>
      </c>
      <c r="J4" t="s">
        <v>215</v>
      </c>
      <c r="L4" s="7" t="s">
        <v>2</v>
      </c>
      <c r="O4" s="8" t="s">
        <v>216</v>
      </c>
      <c r="P4" s="1" t="s">
        <v>217</v>
      </c>
      <c r="Q4" s="62" t="s">
        <v>218</v>
      </c>
      <c r="R4" s="2" t="s">
        <v>219</v>
      </c>
    </row>
    <row r="5" spans="1:18">
      <c r="A5" s="2" t="s">
        <v>220</v>
      </c>
      <c r="B5" s="2" t="s">
        <v>221</v>
      </c>
      <c r="C5" s="2" t="s">
        <v>222</v>
      </c>
      <c r="D5" s="2"/>
      <c r="E5" s="2"/>
      <c r="F5" s="2"/>
      <c r="G5" s="2"/>
      <c r="I5" s="2" t="s">
        <v>223</v>
      </c>
      <c r="J5" t="s">
        <v>224</v>
      </c>
      <c r="L5" s="7" t="s">
        <v>3</v>
      </c>
      <c r="O5" s="8" t="s">
        <v>225</v>
      </c>
      <c r="P5" s="1" t="s">
        <v>226</v>
      </c>
      <c r="Q5" s="62" t="s">
        <v>227</v>
      </c>
      <c r="R5" s="2" t="s">
        <v>228</v>
      </c>
    </row>
    <row r="6" spans="1:18">
      <c r="A6" s="2" t="s">
        <v>229</v>
      </c>
      <c r="B6" s="2"/>
      <c r="C6" s="2" t="s">
        <v>230</v>
      </c>
      <c r="D6" s="2"/>
      <c r="E6" s="2"/>
      <c r="F6" s="2"/>
      <c r="G6" s="2"/>
      <c r="I6" s="2" t="s">
        <v>231</v>
      </c>
      <c r="J6" t="s">
        <v>232</v>
      </c>
      <c r="O6" s="8" t="s">
        <v>233</v>
      </c>
      <c r="P6" s="1" t="s">
        <v>234</v>
      </c>
      <c r="Q6" s="62" t="s">
        <v>235</v>
      </c>
      <c r="R6" s="9" t="s">
        <v>236</v>
      </c>
    </row>
    <row r="7" spans="1:18">
      <c r="D7" s="2"/>
      <c r="E7" s="2"/>
      <c r="F7" s="2"/>
      <c r="G7" s="2"/>
      <c r="I7" s="2" t="s">
        <v>237</v>
      </c>
      <c r="J7" t="s">
        <v>238</v>
      </c>
      <c r="O7" s="8" t="s">
        <v>239</v>
      </c>
      <c r="P7" s="1" t="s">
        <v>240</v>
      </c>
      <c r="Q7" s="62" t="s">
        <v>241</v>
      </c>
      <c r="R7" s="2" t="s">
        <v>242</v>
      </c>
    </row>
    <row r="8" spans="1:18">
      <c r="A8" s="2" t="s">
        <v>243</v>
      </c>
      <c r="B8" s="2" t="s">
        <v>8</v>
      </c>
      <c r="C8" s="2" t="s">
        <v>244</v>
      </c>
      <c r="D8" s="2" t="s">
        <v>245</v>
      </c>
      <c r="E8" s="2" t="s">
        <v>246</v>
      </c>
      <c r="F8" s="2" t="s">
        <v>247</v>
      </c>
      <c r="G8" s="2" t="s">
        <v>248</v>
      </c>
      <c r="O8" s="8" t="s">
        <v>249</v>
      </c>
      <c r="P8" s="1" t="s">
        <v>250</v>
      </c>
      <c r="Q8" s="62" t="s">
        <v>251</v>
      </c>
      <c r="R8" s="2" t="s">
        <v>252</v>
      </c>
    </row>
    <row r="9" spans="1:18">
      <c r="A9" s="2" t="s">
        <v>160</v>
      </c>
      <c r="B9" t="s">
        <v>253</v>
      </c>
      <c r="C9" t="s">
        <v>254</v>
      </c>
      <c r="O9" s="8" t="s">
        <v>255</v>
      </c>
      <c r="P9" s="1" t="s">
        <v>256</v>
      </c>
      <c r="Q9" s="62" t="s">
        <v>257</v>
      </c>
      <c r="R9" s="2" t="s">
        <v>258</v>
      </c>
    </row>
    <row r="10" spans="1:18">
      <c r="A10" s="2" t="s">
        <v>259</v>
      </c>
      <c r="B10" t="s">
        <v>260</v>
      </c>
      <c r="C10" t="s">
        <v>261</v>
      </c>
      <c r="O10" s="8" t="s">
        <v>262</v>
      </c>
      <c r="P10" s="1" t="s">
        <v>263</v>
      </c>
      <c r="Q10" s="62" t="s">
        <v>264</v>
      </c>
      <c r="R10" s="2" t="s">
        <v>265</v>
      </c>
    </row>
    <row r="11" spans="1:18">
      <c r="A11" s="2" t="s">
        <v>266</v>
      </c>
      <c r="B11" t="s">
        <v>267</v>
      </c>
      <c r="C11" t="s">
        <v>268</v>
      </c>
      <c r="O11" s="8"/>
      <c r="Q11" s="62" t="s">
        <v>269</v>
      </c>
      <c r="R11" s="2" t="s">
        <v>270</v>
      </c>
    </row>
    <row r="12" spans="1:18" ht="14.25">
      <c r="F12" s="3" t="s">
        <v>271</v>
      </c>
      <c r="H12" s="3" t="s">
        <v>272</v>
      </c>
      <c r="O12" s="8" t="s">
        <v>273</v>
      </c>
      <c r="P12" s="1" t="s">
        <v>4</v>
      </c>
      <c r="Q12" s="62" t="s">
        <v>274</v>
      </c>
      <c r="R12" s="2" t="s">
        <v>275</v>
      </c>
    </row>
    <row r="13" spans="1:18">
      <c r="A13" t="s">
        <v>5</v>
      </c>
      <c r="B13" s="4" t="s">
        <v>276</v>
      </c>
      <c r="F13" s="5" t="s">
        <v>277</v>
      </c>
      <c r="H13" s="5" t="s">
        <v>277</v>
      </c>
      <c r="O13" s="8" t="s">
        <v>278</v>
      </c>
      <c r="P13" s="1" t="s">
        <v>279</v>
      </c>
      <c r="Q13" s="62" t="s">
        <v>280</v>
      </c>
      <c r="R13" s="2" t="s">
        <v>281</v>
      </c>
    </row>
    <row r="14" spans="1:18">
      <c r="A14" t="s">
        <v>282</v>
      </c>
      <c r="B14" s="4" t="s">
        <v>283</v>
      </c>
      <c r="F14" s="6">
        <v>650</v>
      </c>
      <c r="H14" s="2">
        <v>6.73</v>
      </c>
      <c r="O14" s="8" t="s">
        <v>284</v>
      </c>
      <c r="P14" s="1" t="s">
        <v>285</v>
      </c>
      <c r="Q14" s="62" t="s">
        <v>286</v>
      </c>
      <c r="R14" s="2" t="s">
        <v>287</v>
      </c>
    </row>
    <row r="15" spans="1:18">
      <c r="A15" t="s">
        <v>288</v>
      </c>
      <c r="O15" s="8" t="s">
        <v>289</v>
      </c>
      <c r="P15" s="1" t="s">
        <v>290</v>
      </c>
      <c r="Q15" s="62" t="s">
        <v>291</v>
      </c>
      <c r="R15" s="2" t="s">
        <v>292</v>
      </c>
    </row>
    <row r="16" spans="1:18" ht="14.25">
      <c r="A16" t="s">
        <v>293</v>
      </c>
      <c r="F16" s="3" t="s">
        <v>294</v>
      </c>
      <c r="O16" s="8"/>
      <c r="Q16" s="62" t="s">
        <v>295</v>
      </c>
      <c r="R16" s="2" t="s">
        <v>296</v>
      </c>
    </row>
    <row r="17" spans="1:18">
      <c r="A17" t="s">
        <v>297</v>
      </c>
      <c r="O17" s="8" t="s">
        <v>298</v>
      </c>
      <c r="P17" s="1" t="s">
        <v>299</v>
      </c>
      <c r="Q17" s="62" t="s">
        <v>300</v>
      </c>
      <c r="R17" s="2" t="s">
        <v>150</v>
      </c>
    </row>
    <row r="18" spans="1:18">
      <c r="A18" t="s">
        <v>145</v>
      </c>
      <c r="B18" s="2"/>
      <c r="C18" s="2"/>
      <c r="O18" s="8" t="s">
        <v>301</v>
      </c>
      <c r="P18" s="1" t="s">
        <v>302</v>
      </c>
    </row>
    <row r="19" spans="1:18">
      <c r="A19" t="s">
        <v>303</v>
      </c>
      <c r="H19" s="2"/>
      <c r="O19" s="8" t="s">
        <v>304</v>
      </c>
      <c r="P19" s="1" t="s">
        <v>305</v>
      </c>
      <c r="Q19" s="63" t="s">
        <v>306</v>
      </c>
      <c r="R19" s="9" t="s">
        <v>307</v>
      </c>
    </row>
    <row r="20" spans="1:18">
      <c r="A20" t="s">
        <v>308</v>
      </c>
      <c r="H20" s="2"/>
      <c r="O20" s="8" t="s">
        <v>309</v>
      </c>
      <c r="P20" s="1" t="s">
        <v>310</v>
      </c>
      <c r="Q20" s="63" t="s">
        <v>311</v>
      </c>
      <c r="R20" s="9" t="s">
        <v>312</v>
      </c>
    </row>
    <row r="21" spans="1:18" ht="14.25">
      <c r="A21" t="s">
        <v>313</v>
      </c>
      <c r="F21" s="3"/>
      <c r="H21" s="2"/>
      <c r="O21" s="8" t="s">
        <v>314</v>
      </c>
      <c r="P21" s="1" t="s">
        <v>315</v>
      </c>
      <c r="Q21" s="63" t="s">
        <v>316</v>
      </c>
      <c r="R21" s="9" t="s">
        <v>317</v>
      </c>
    </row>
    <row r="22" spans="1:18">
      <c r="A22" t="s">
        <v>318</v>
      </c>
      <c r="H22" s="2"/>
      <c r="O22" s="8" t="s">
        <v>319</v>
      </c>
      <c r="P22" s="1" t="s">
        <v>320</v>
      </c>
      <c r="Q22" s="63" t="s">
        <v>321</v>
      </c>
      <c r="R22" s="9" t="s">
        <v>322</v>
      </c>
    </row>
    <row r="23" spans="1:18">
      <c r="A23" t="s">
        <v>323</v>
      </c>
      <c r="H23" s="2"/>
      <c r="O23" s="8" t="s">
        <v>324</v>
      </c>
      <c r="P23" s="1" t="s">
        <v>325</v>
      </c>
      <c r="Q23" s="63" t="s">
        <v>326</v>
      </c>
      <c r="R23" s="9" t="s">
        <v>150</v>
      </c>
    </row>
    <row r="24" spans="1:18">
      <c r="A24" t="s">
        <v>144</v>
      </c>
      <c r="H24" s="2"/>
      <c r="O24" s="8" t="s">
        <v>327</v>
      </c>
      <c r="P24" s="1" t="s">
        <v>328</v>
      </c>
    </row>
    <row r="25" spans="1:18">
      <c r="A25" t="s">
        <v>329</v>
      </c>
      <c r="H25" s="2"/>
      <c r="O25" s="8" t="s">
        <v>330</v>
      </c>
      <c r="P25" s="1" t="s">
        <v>331</v>
      </c>
      <c r="Q25" s="62" t="s">
        <v>332</v>
      </c>
      <c r="R25" s="2" t="s">
        <v>190</v>
      </c>
    </row>
    <row r="26" spans="1:18">
      <c r="A26" t="s">
        <v>150</v>
      </c>
      <c r="O26" s="8" t="s">
        <v>333</v>
      </c>
      <c r="P26" s="1" t="s">
        <v>334</v>
      </c>
      <c r="Q26" s="62" t="s">
        <v>335</v>
      </c>
      <c r="R26" s="2" t="s">
        <v>146</v>
      </c>
    </row>
    <row r="27" spans="1:18">
      <c r="Q27" s="62" t="s">
        <v>336</v>
      </c>
      <c r="R27" s="2" t="s">
        <v>189</v>
      </c>
    </row>
    <row r="28" spans="1:18">
      <c r="A28" t="s">
        <v>337</v>
      </c>
      <c r="O28" s="8" t="s">
        <v>338</v>
      </c>
      <c r="P28" s="1" t="s">
        <v>339</v>
      </c>
      <c r="Q28" s="62" t="s">
        <v>340</v>
      </c>
      <c r="R28" s="2" t="s">
        <v>341</v>
      </c>
    </row>
    <row r="29" spans="1:18">
      <c r="A29" t="s">
        <v>342</v>
      </c>
      <c r="O29" s="8" t="s">
        <v>343</v>
      </c>
      <c r="P29" s="1" t="s">
        <v>344</v>
      </c>
      <c r="Q29" s="62" t="s">
        <v>345</v>
      </c>
      <c r="R29" s="2" t="s">
        <v>287</v>
      </c>
    </row>
    <row r="30" spans="1:18">
      <c r="A30" t="s">
        <v>346</v>
      </c>
      <c r="O30" s="8" t="s">
        <v>347</v>
      </c>
      <c r="P30" s="1" t="s">
        <v>348</v>
      </c>
      <c r="Q30" s="62" t="s">
        <v>349</v>
      </c>
      <c r="R30" s="2" t="s">
        <v>350</v>
      </c>
    </row>
    <row r="31" spans="1:18">
      <c r="A31" t="s">
        <v>351</v>
      </c>
      <c r="O31" s="8" t="s">
        <v>352</v>
      </c>
      <c r="P31" s="1" t="s">
        <v>353</v>
      </c>
      <c r="Q31" s="62" t="s">
        <v>354</v>
      </c>
      <c r="R31" s="2" t="s">
        <v>355</v>
      </c>
    </row>
    <row r="32" spans="1:18">
      <c r="A32" t="s">
        <v>356</v>
      </c>
      <c r="O32" s="8" t="s">
        <v>357</v>
      </c>
      <c r="P32" s="1" t="s">
        <v>358</v>
      </c>
      <c r="Q32" s="62" t="s">
        <v>359</v>
      </c>
      <c r="R32" s="2" t="s">
        <v>360</v>
      </c>
    </row>
    <row r="33" spans="1:18">
      <c r="A33" t="s">
        <v>361</v>
      </c>
      <c r="O33" s="8"/>
      <c r="Q33" s="62" t="s">
        <v>362</v>
      </c>
      <c r="R33" s="2" t="s">
        <v>150</v>
      </c>
    </row>
    <row r="34" spans="1:18">
      <c r="A34" t="s">
        <v>150</v>
      </c>
      <c r="O34" s="8"/>
    </row>
    <row r="35" spans="1:18">
      <c r="O35" s="8"/>
      <c r="Q35" s="62" t="s">
        <v>363</v>
      </c>
      <c r="R35" s="2" t="s">
        <v>190</v>
      </c>
    </row>
    <row r="36" spans="1:18">
      <c r="A36" s="1" t="s">
        <v>364</v>
      </c>
      <c r="O36" s="8"/>
      <c r="Q36" s="62" t="s">
        <v>365</v>
      </c>
      <c r="R36" s="2" t="s">
        <v>146</v>
      </c>
    </row>
    <row r="37" spans="1:18">
      <c r="A37" s="1" t="s">
        <v>366</v>
      </c>
      <c r="Q37" s="62" t="s">
        <v>367</v>
      </c>
      <c r="R37" s="2" t="s">
        <v>189</v>
      </c>
    </row>
    <row r="38" spans="1:18">
      <c r="A38" s="1" t="s">
        <v>368</v>
      </c>
      <c r="Q38" s="62" t="s">
        <v>369</v>
      </c>
      <c r="R38" s="2" t="s">
        <v>370</v>
      </c>
    </row>
    <row r="39" spans="1:18">
      <c r="A39" s="1" t="s">
        <v>371</v>
      </c>
      <c r="Q39" s="62" t="s">
        <v>372</v>
      </c>
      <c r="R39" s="2" t="s">
        <v>287</v>
      </c>
    </row>
    <row r="40" spans="1:18">
      <c r="A40" s="1" t="s">
        <v>373</v>
      </c>
      <c r="Q40" s="62" t="s">
        <v>374</v>
      </c>
      <c r="R40" s="2" t="s">
        <v>360</v>
      </c>
    </row>
    <row r="41" spans="1:18">
      <c r="A41" s="1" t="s">
        <v>375</v>
      </c>
      <c r="Q41" s="62" t="s">
        <v>376</v>
      </c>
      <c r="R41" s="2" t="s">
        <v>150</v>
      </c>
    </row>
    <row r="42" spans="1:18">
      <c r="A42" s="1" t="s">
        <v>377</v>
      </c>
    </row>
    <row r="43" spans="1:18">
      <c r="A43" s="1" t="s">
        <v>378</v>
      </c>
      <c r="Q43" s="62" t="s">
        <v>379</v>
      </c>
      <c r="R43" s="2" t="s">
        <v>380</v>
      </c>
    </row>
    <row r="44" spans="1:18">
      <c r="A44" s="1" t="s">
        <v>381</v>
      </c>
      <c r="Q44" s="62" t="s">
        <v>382</v>
      </c>
      <c r="R44" s="2" t="s">
        <v>383</v>
      </c>
    </row>
    <row r="45" spans="1:18">
      <c r="A45" s="1" t="s">
        <v>384</v>
      </c>
      <c r="Q45" s="62" t="s">
        <v>385</v>
      </c>
      <c r="R45" s="2" t="s">
        <v>386</v>
      </c>
    </row>
    <row r="46" spans="1:18">
      <c r="A46" s="1" t="s">
        <v>387</v>
      </c>
      <c r="Q46" s="62" t="s">
        <v>388</v>
      </c>
      <c r="R46" s="2" t="s">
        <v>389</v>
      </c>
    </row>
    <row r="47" spans="1:18">
      <c r="A47" s="1" t="s">
        <v>390</v>
      </c>
      <c r="Q47" s="62" t="s">
        <v>391</v>
      </c>
      <c r="R47" s="2" t="s">
        <v>392</v>
      </c>
    </row>
    <row r="48" spans="1:18">
      <c r="A48" s="1" t="s">
        <v>393</v>
      </c>
      <c r="Q48" s="62" t="s">
        <v>394</v>
      </c>
      <c r="R48" s="2" t="s">
        <v>150</v>
      </c>
    </row>
    <row r="49" spans="1:18">
      <c r="A49" s="1" t="s">
        <v>313</v>
      </c>
    </row>
    <row r="50" spans="1:18">
      <c r="A50" s="1" t="s">
        <v>395</v>
      </c>
      <c r="Q50" s="62" t="s">
        <v>396</v>
      </c>
      <c r="R50" s="2" t="s">
        <v>397</v>
      </c>
    </row>
    <row r="51" spans="1:18">
      <c r="A51" s="1" t="s">
        <v>398</v>
      </c>
      <c r="Q51" s="62" t="s">
        <v>399</v>
      </c>
      <c r="R51" s="2" t="s">
        <v>400</v>
      </c>
    </row>
    <row r="52" spans="1:18">
      <c r="A52" s="1" t="s">
        <v>150</v>
      </c>
      <c r="Q52" s="62" t="s">
        <v>401</v>
      </c>
      <c r="R52" s="2" t="s">
        <v>402</v>
      </c>
    </row>
    <row r="53" spans="1:18">
      <c r="Q53" s="62" t="s">
        <v>403</v>
      </c>
      <c r="R53" s="2" t="s">
        <v>404</v>
      </c>
    </row>
    <row r="54" spans="1:18">
      <c r="A54" s="1" t="s">
        <v>405</v>
      </c>
      <c r="Q54" s="62" t="s">
        <v>406</v>
      </c>
      <c r="R54" s="2" t="s">
        <v>407</v>
      </c>
    </row>
    <row r="55" spans="1:18">
      <c r="A55" s="1" t="s">
        <v>408</v>
      </c>
      <c r="Q55" s="62" t="s">
        <v>409</v>
      </c>
      <c r="R55" s="2" t="s">
        <v>410</v>
      </c>
    </row>
    <row r="56" spans="1:18">
      <c r="A56" s="1" t="s">
        <v>411</v>
      </c>
      <c r="Q56" s="62" t="s">
        <v>412</v>
      </c>
      <c r="R56" s="2" t="s">
        <v>150</v>
      </c>
    </row>
    <row r="57" spans="1:18">
      <c r="A57" s="1" t="s">
        <v>413</v>
      </c>
    </row>
    <row r="58" spans="1:18">
      <c r="A58" s="1" t="s">
        <v>414</v>
      </c>
      <c r="Q58" s="62" t="s">
        <v>415</v>
      </c>
      <c r="R58" s="2" t="s">
        <v>416</v>
      </c>
    </row>
    <row r="59" spans="1:18">
      <c r="A59" s="1" t="s">
        <v>417</v>
      </c>
      <c r="Q59" s="62" t="s">
        <v>418</v>
      </c>
      <c r="R59" s="2" t="s">
        <v>419</v>
      </c>
    </row>
    <row r="60" spans="1:18">
      <c r="A60" s="1" t="s">
        <v>420</v>
      </c>
      <c r="Q60" s="62" t="s">
        <v>421</v>
      </c>
      <c r="R60" s="2" t="s">
        <v>422</v>
      </c>
    </row>
    <row r="61" spans="1:18">
      <c r="A61" s="1" t="s">
        <v>423</v>
      </c>
      <c r="Q61" s="62" t="s">
        <v>424</v>
      </c>
      <c r="R61" s="2" t="s">
        <v>258</v>
      </c>
    </row>
    <row r="62" spans="1:18">
      <c r="A62" s="1" t="s">
        <v>425</v>
      </c>
      <c r="Q62" s="62" t="s">
        <v>426</v>
      </c>
      <c r="R62" s="2" t="s">
        <v>427</v>
      </c>
    </row>
    <row r="63" spans="1:18">
      <c r="A63" s="1" t="s">
        <v>428</v>
      </c>
      <c r="Q63" s="62" t="s">
        <v>429</v>
      </c>
      <c r="R63" s="2" t="s">
        <v>430</v>
      </c>
    </row>
    <row r="64" spans="1:18">
      <c r="A64" s="1" t="s">
        <v>431</v>
      </c>
      <c r="Q64" s="62" t="s">
        <v>432</v>
      </c>
      <c r="R64" s="2" t="s">
        <v>433</v>
      </c>
    </row>
    <row r="65" spans="1:18">
      <c r="A65" s="1" t="s">
        <v>434</v>
      </c>
      <c r="Q65" s="62" t="s">
        <v>435</v>
      </c>
      <c r="R65" s="2" t="s">
        <v>436</v>
      </c>
    </row>
    <row r="66" spans="1:18">
      <c r="A66" s="1" t="s">
        <v>150</v>
      </c>
      <c r="Q66" s="62" t="s">
        <v>437</v>
      </c>
      <c r="R66" s="2" t="s">
        <v>150</v>
      </c>
    </row>
    <row r="68" spans="1:18">
      <c r="R68" s="2" t="s">
        <v>438</v>
      </c>
    </row>
    <row r="69" spans="1:18">
      <c r="R69" s="2" t="s">
        <v>147</v>
      </c>
    </row>
    <row r="70" spans="1:18">
      <c r="R70" s="2" t="s">
        <v>439</v>
      </c>
    </row>
    <row r="71" spans="1:18">
      <c r="R71" s="2" t="s">
        <v>440</v>
      </c>
    </row>
    <row r="72" spans="1:18">
      <c r="R72" s="2" t="s">
        <v>149</v>
      </c>
    </row>
    <row r="73" spans="1:18">
      <c r="R73" s="2" t="s">
        <v>441</v>
      </c>
    </row>
    <row r="74" spans="1:18">
      <c r="R74" s="2" t="s">
        <v>442</v>
      </c>
    </row>
    <row r="75" spans="1:18">
      <c r="R75" s="2" t="s">
        <v>443</v>
      </c>
    </row>
    <row r="76" spans="1:18">
      <c r="R76" s="2" t="s">
        <v>444</v>
      </c>
    </row>
    <row r="77" spans="1:18">
      <c r="R77" s="2" t="s">
        <v>445</v>
      </c>
    </row>
    <row r="78" spans="1:18">
      <c r="R78" s="2" t="s">
        <v>446</v>
      </c>
    </row>
    <row r="79" spans="1:18">
      <c r="R79" s="2" t="s">
        <v>42</v>
      </c>
    </row>
    <row r="80" spans="1:18">
      <c r="R80" s="2" t="s">
        <v>148</v>
      </c>
    </row>
    <row r="81" spans="18:18">
      <c r="R81" s="2" t="s">
        <v>447</v>
      </c>
    </row>
    <row r="82" spans="18:18">
      <c r="R82" s="2" t="s">
        <v>150</v>
      </c>
    </row>
    <row r="84" spans="18:18">
      <c r="R84" s="2" t="s">
        <v>448</v>
      </c>
    </row>
    <row r="85" spans="18:18">
      <c r="R85" s="2" t="s">
        <v>449</v>
      </c>
    </row>
    <row r="86" spans="18:18">
      <c r="R86" s="2" t="s">
        <v>450</v>
      </c>
    </row>
    <row r="87" spans="18:18">
      <c r="R87" s="2" t="s">
        <v>451</v>
      </c>
    </row>
    <row r="88" spans="18:18">
      <c r="R88" s="2" t="s">
        <v>452</v>
      </c>
    </row>
    <row r="89" spans="18:18">
      <c r="R89" s="2" t="s">
        <v>150</v>
      </c>
    </row>
    <row r="91" spans="18:18">
      <c r="R91" t="s">
        <v>5</v>
      </c>
    </row>
    <row r="92" spans="18:18">
      <c r="R92" t="s">
        <v>282</v>
      </c>
    </row>
    <row r="93" spans="18:18">
      <c r="R93" t="s">
        <v>288</v>
      </c>
    </row>
    <row r="94" spans="18:18">
      <c r="R94" t="s">
        <v>293</v>
      </c>
    </row>
    <row r="95" spans="18:18">
      <c r="R95" t="s">
        <v>297</v>
      </c>
    </row>
    <row r="96" spans="18:18">
      <c r="R96" t="s">
        <v>145</v>
      </c>
    </row>
    <row r="97" spans="18:18">
      <c r="R97" t="s">
        <v>303</v>
      </c>
    </row>
    <row r="98" spans="18:18">
      <c r="R98" t="s">
        <v>308</v>
      </c>
    </row>
    <row r="99" spans="18:18">
      <c r="R99" t="s">
        <v>313</v>
      </c>
    </row>
    <row r="100" spans="18:18">
      <c r="R100" t="s">
        <v>318</v>
      </c>
    </row>
    <row r="101" spans="18:18">
      <c r="R101" t="s">
        <v>323</v>
      </c>
    </row>
    <row r="102" spans="18:18">
      <c r="R102" t="s">
        <v>144</v>
      </c>
    </row>
    <row r="103" spans="18:18">
      <c r="R103" t="s">
        <v>329</v>
      </c>
    </row>
    <row r="104" spans="18:18">
      <c r="R104" t="s">
        <v>150</v>
      </c>
    </row>
    <row r="106" spans="18:18">
      <c r="R106" t="s">
        <v>337</v>
      </c>
    </row>
    <row r="107" spans="18:18">
      <c r="R107" t="s">
        <v>342</v>
      </c>
    </row>
    <row r="108" spans="18:18">
      <c r="R108" t="s">
        <v>346</v>
      </c>
    </row>
    <row r="109" spans="18:18">
      <c r="R109" t="s">
        <v>351</v>
      </c>
    </row>
    <row r="110" spans="18:18">
      <c r="R110" t="s">
        <v>356</v>
      </c>
    </row>
    <row r="111" spans="18:18">
      <c r="R111" t="s">
        <v>361</v>
      </c>
    </row>
    <row r="112" spans="18:18">
      <c r="R112" t="s">
        <v>150</v>
      </c>
    </row>
    <row r="114" spans="18:18">
      <c r="R114" s="1" t="s">
        <v>364</v>
      </c>
    </row>
    <row r="115" spans="18:18">
      <c r="R115" s="1" t="s">
        <v>366</v>
      </c>
    </row>
    <row r="116" spans="18:18">
      <c r="R116" s="1" t="s">
        <v>368</v>
      </c>
    </row>
    <row r="117" spans="18:18">
      <c r="R117" s="1" t="s">
        <v>371</v>
      </c>
    </row>
    <row r="118" spans="18:18">
      <c r="R118" s="1" t="s">
        <v>373</v>
      </c>
    </row>
    <row r="119" spans="18:18">
      <c r="R119" s="1" t="s">
        <v>375</v>
      </c>
    </row>
    <row r="120" spans="18:18">
      <c r="R120" s="1" t="s">
        <v>377</v>
      </c>
    </row>
    <row r="121" spans="18:18">
      <c r="R121" s="1" t="s">
        <v>378</v>
      </c>
    </row>
    <row r="122" spans="18:18">
      <c r="R122" s="1" t="s">
        <v>381</v>
      </c>
    </row>
    <row r="123" spans="18:18">
      <c r="R123" s="1" t="s">
        <v>384</v>
      </c>
    </row>
    <row r="124" spans="18:18">
      <c r="R124" s="1" t="s">
        <v>387</v>
      </c>
    </row>
    <row r="125" spans="18:18">
      <c r="R125" s="1" t="s">
        <v>390</v>
      </c>
    </row>
    <row r="126" spans="18:18">
      <c r="R126" s="1" t="s">
        <v>393</v>
      </c>
    </row>
    <row r="127" spans="18:18">
      <c r="R127" s="1" t="s">
        <v>313</v>
      </c>
    </row>
    <row r="128" spans="18:18">
      <c r="R128" s="1" t="s">
        <v>395</v>
      </c>
    </row>
    <row r="129" spans="18:18">
      <c r="R129" s="1" t="s">
        <v>398</v>
      </c>
    </row>
    <row r="130" spans="18:18">
      <c r="R130" s="1" t="s">
        <v>150</v>
      </c>
    </row>
    <row r="132" spans="18:18">
      <c r="R132" s="1" t="s">
        <v>405</v>
      </c>
    </row>
    <row r="133" spans="18:18">
      <c r="R133" s="1" t="s">
        <v>408</v>
      </c>
    </row>
    <row r="134" spans="18:18">
      <c r="R134" s="1" t="s">
        <v>411</v>
      </c>
    </row>
    <row r="135" spans="18:18">
      <c r="R135" s="1" t="s">
        <v>413</v>
      </c>
    </row>
    <row r="136" spans="18:18">
      <c r="R136" s="1" t="s">
        <v>414</v>
      </c>
    </row>
    <row r="137" spans="18:18">
      <c r="R137" s="1" t="s">
        <v>417</v>
      </c>
    </row>
    <row r="138" spans="18:18">
      <c r="R138" s="1" t="s">
        <v>420</v>
      </c>
    </row>
    <row r="139" spans="18:18">
      <c r="R139" s="1" t="s">
        <v>423</v>
      </c>
    </row>
    <row r="140" spans="18:18">
      <c r="R140" s="1" t="s">
        <v>425</v>
      </c>
    </row>
    <row r="141" spans="18:18">
      <c r="R141" s="1" t="s">
        <v>428</v>
      </c>
    </row>
    <row r="142" spans="18:18">
      <c r="R142" s="1" t="s">
        <v>431</v>
      </c>
    </row>
    <row r="143" spans="18:18">
      <c r="R143" s="1" t="s">
        <v>434</v>
      </c>
    </row>
    <row r="144" spans="18:18">
      <c r="R144" s="1" t="s">
        <v>150</v>
      </c>
    </row>
    <row r="146" spans="18:18">
      <c r="R146" t="s">
        <v>453</v>
      </c>
    </row>
    <row r="147" spans="18:18">
      <c r="R147" t="s">
        <v>371</v>
      </c>
    </row>
    <row r="148" spans="18:18">
      <c r="R148" t="s">
        <v>454</v>
      </c>
    </row>
    <row r="149" spans="18:18">
      <c r="R149" t="s">
        <v>455</v>
      </c>
    </row>
    <row r="150" spans="18:18">
      <c r="R150" t="s">
        <v>456</v>
      </c>
    </row>
    <row r="151" spans="18:18">
      <c r="R151" t="s">
        <v>457</v>
      </c>
    </row>
    <row r="152" spans="18:18">
      <c r="R152" t="s">
        <v>458</v>
      </c>
    </row>
    <row r="153" spans="18:18">
      <c r="R153" t="s">
        <v>459</v>
      </c>
    </row>
    <row r="154" spans="18:18">
      <c r="R154" t="s">
        <v>460</v>
      </c>
    </row>
    <row r="155" spans="18:18">
      <c r="R155" t="s">
        <v>461</v>
      </c>
    </row>
    <row r="156" spans="18:18">
      <c r="R156" t="s">
        <v>150</v>
      </c>
    </row>
    <row r="158" spans="18:18">
      <c r="R158" t="s">
        <v>462</v>
      </c>
    </row>
    <row r="159" spans="18:18">
      <c r="R159" t="s">
        <v>463</v>
      </c>
    </row>
    <row r="160" spans="18:18">
      <c r="R160" t="s">
        <v>464</v>
      </c>
    </row>
    <row r="161" spans="18:18">
      <c r="R161" t="s">
        <v>465</v>
      </c>
    </row>
    <row r="162" spans="18:18">
      <c r="R162" t="s">
        <v>466</v>
      </c>
    </row>
    <row r="163" spans="18:18">
      <c r="R163" t="s">
        <v>467</v>
      </c>
    </row>
    <row r="164" spans="18:18">
      <c r="R164" t="s">
        <v>468</v>
      </c>
    </row>
    <row r="165" spans="18:18">
      <c r="R165" t="s">
        <v>469</v>
      </c>
    </row>
    <row r="166" spans="18:18">
      <c r="R166" t="s">
        <v>470</v>
      </c>
    </row>
    <row r="167" spans="18:18">
      <c r="R167" t="s">
        <v>471</v>
      </c>
    </row>
    <row r="168" spans="18:18">
      <c r="R168" t="s">
        <v>472</v>
      </c>
    </row>
    <row r="169" spans="18:18">
      <c r="R169" t="s">
        <v>473</v>
      </c>
    </row>
    <row r="170" spans="18:18">
      <c r="R170" t="s">
        <v>474</v>
      </c>
    </row>
    <row r="171" spans="18:18">
      <c r="R171" t="s">
        <v>150</v>
      </c>
    </row>
    <row r="173" spans="18:18">
      <c r="R173" t="s">
        <v>475</v>
      </c>
    </row>
    <row r="174" spans="18:18">
      <c r="R174" t="s">
        <v>476</v>
      </c>
    </row>
    <row r="175" spans="18:18">
      <c r="R175" t="s">
        <v>477</v>
      </c>
    </row>
    <row r="176" spans="18:18">
      <c r="R176" t="s">
        <v>478</v>
      </c>
    </row>
    <row r="177" spans="18:18">
      <c r="R177" t="s">
        <v>479</v>
      </c>
    </row>
    <row r="178" spans="18:18">
      <c r="R178" t="s">
        <v>480</v>
      </c>
    </row>
    <row r="179" spans="18:18">
      <c r="R179" t="s">
        <v>481</v>
      </c>
    </row>
    <row r="180" spans="18:18">
      <c r="R180" t="s">
        <v>482</v>
      </c>
    </row>
    <row r="181" spans="18:18">
      <c r="R181" t="s">
        <v>483</v>
      </c>
    </row>
    <row r="182" spans="18:18">
      <c r="R182" t="s">
        <v>484</v>
      </c>
    </row>
    <row r="183" spans="18:18">
      <c r="R183" t="s">
        <v>485</v>
      </c>
    </row>
    <row r="184" spans="18:18">
      <c r="R184" t="s">
        <v>150</v>
      </c>
    </row>
    <row r="186" spans="18:18">
      <c r="R186" t="s">
        <v>486</v>
      </c>
    </row>
    <row r="187" spans="18:18">
      <c r="R187" t="s">
        <v>487</v>
      </c>
    </row>
    <row r="188" spans="18:18">
      <c r="R188" t="s">
        <v>488</v>
      </c>
    </row>
    <row r="189" spans="18:18">
      <c r="R189" t="s">
        <v>489</v>
      </c>
    </row>
    <row r="190" spans="18:18">
      <c r="R190" t="s">
        <v>490</v>
      </c>
    </row>
    <row r="191" spans="18:18">
      <c r="R191" t="s">
        <v>491</v>
      </c>
    </row>
    <row r="192" spans="18:18">
      <c r="R192" t="s">
        <v>150</v>
      </c>
    </row>
    <row r="194" spans="18:18">
      <c r="R194" t="s">
        <v>492</v>
      </c>
    </row>
    <row r="195" spans="18:18">
      <c r="R195" t="s">
        <v>493</v>
      </c>
    </row>
    <row r="196" spans="18:18">
      <c r="R196" t="s">
        <v>494</v>
      </c>
    </row>
    <row r="197" spans="18:18">
      <c r="R197" t="s">
        <v>150</v>
      </c>
    </row>
    <row r="199" spans="18:18">
      <c r="R199" t="s">
        <v>495</v>
      </c>
    </row>
    <row r="200" spans="18:18">
      <c r="R200" t="s">
        <v>496</v>
      </c>
    </row>
    <row r="201" spans="18:18">
      <c r="R201" t="s">
        <v>497</v>
      </c>
    </row>
    <row r="202" spans="18:18">
      <c r="R202" t="s">
        <v>498</v>
      </c>
    </row>
    <row r="203" spans="18:18">
      <c r="R203" t="s">
        <v>150</v>
      </c>
    </row>
    <row r="205" spans="18:18">
      <c r="R205" t="s">
        <v>499</v>
      </c>
    </row>
    <row r="206" spans="18:18">
      <c r="R206" t="s">
        <v>500</v>
      </c>
    </row>
    <row r="207" spans="18:18">
      <c r="R207" t="s">
        <v>501</v>
      </c>
    </row>
    <row r="208" spans="18:18">
      <c r="R208" t="s">
        <v>502</v>
      </c>
    </row>
    <row r="209" spans="18:18">
      <c r="R209" t="s">
        <v>503</v>
      </c>
    </row>
    <row r="210" spans="18:18">
      <c r="R210" t="s">
        <v>504</v>
      </c>
    </row>
    <row r="211" spans="18:18">
      <c r="R211" t="s">
        <v>505</v>
      </c>
    </row>
    <row r="212" spans="18:18">
      <c r="R212" t="s">
        <v>150</v>
      </c>
    </row>
    <row r="214" spans="18:18">
      <c r="R214" t="s">
        <v>506</v>
      </c>
    </row>
    <row r="215" spans="18:18">
      <c r="R215" t="s">
        <v>507</v>
      </c>
    </row>
    <row r="216" spans="18:18">
      <c r="R216" t="s">
        <v>508</v>
      </c>
    </row>
    <row r="217" spans="18:18">
      <c r="R217" t="s">
        <v>509</v>
      </c>
    </row>
    <row r="218" spans="18:18">
      <c r="R218" t="s">
        <v>510</v>
      </c>
    </row>
    <row r="219" spans="18:18">
      <c r="R219" t="s">
        <v>511</v>
      </c>
    </row>
    <row r="220" spans="18:18">
      <c r="R220" t="s">
        <v>512</v>
      </c>
    </row>
    <row r="221" spans="18:18">
      <c r="R221" t="s">
        <v>513</v>
      </c>
    </row>
    <row r="222" spans="18:18">
      <c r="R222" t="s">
        <v>514</v>
      </c>
    </row>
    <row r="223" spans="18:18">
      <c r="R223" t="s">
        <v>515</v>
      </c>
    </row>
    <row r="224" spans="18:18">
      <c r="R224" t="s">
        <v>48</v>
      </c>
    </row>
    <row r="225" spans="18:18">
      <c r="R225" t="s">
        <v>516</v>
      </c>
    </row>
    <row r="226" spans="18:18">
      <c r="R226" t="s">
        <v>517</v>
      </c>
    </row>
    <row r="227" spans="18:18">
      <c r="R227" t="s">
        <v>150</v>
      </c>
    </row>
    <row r="229" spans="18:18">
      <c r="R229" t="s">
        <v>518</v>
      </c>
    </row>
    <row r="230" spans="18:18">
      <c r="R230" t="s">
        <v>519</v>
      </c>
    </row>
    <row r="231" spans="18:18">
      <c r="R231" t="s">
        <v>368</v>
      </c>
    </row>
    <row r="232" spans="18:18">
      <c r="R232" t="s">
        <v>364</v>
      </c>
    </row>
    <row r="233" spans="18:18">
      <c r="R233" t="s">
        <v>520</v>
      </c>
    </row>
    <row r="234" spans="18:18">
      <c r="R234" t="s">
        <v>521</v>
      </c>
    </row>
    <row r="235" spans="18:18">
      <c r="R235" t="s">
        <v>522</v>
      </c>
    </row>
    <row r="236" spans="18:18">
      <c r="R236" t="s">
        <v>150</v>
      </c>
    </row>
    <row r="238" spans="18:18">
      <c r="R238" t="s">
        <v>523</v>
      </c>
    </row>
    <row r="239" spans="18:18">
      <c r="R239" t="s">
        <v>524</v>
      </c>
    </row>
    <row r="240" spans="18:18">
      <c r="R240" t="s">
        <v>525</v>
      </c>
    </row>
    <row r="241" spans="18:18">
      <c r="R241" t="s">
        <v>526</v>
      </c>
    </row>
    <row r="242" spans="18:18">
      <c r="R242" t="s">
        <v>527</v>
      </c>
    </row>
    <row r="243" spans="18:18">
      <c r="R243" t="s">
        <v>528</v>
      </c>
    </row>
    <row r="244" spans="18:18">
      <c r="R244" t="s">
        <v>529</v>
      </c>
    </row>
    <row r="245" spans="18:18">
      <c r="R245" t="s">
        <v>530</v>
      </c>
    </row>
    <row r="246" spans="18:18">
      <c r="R246" t="s">
        <v>531</v>
      </c>
    </row>
    <row r="247" spans="18:18">
      <c r="R247" t="s">
        <v>532</v>
      </c>
    </row>
    <row r="248" spans="18:18">
      <c r="R248" t="s">
        <v>533</v>
      </c>
    </row>
    <row r="249" spans="18:18">
      <c r="R249" t="s">
        <v>534</v>
      </c>
    </row>
    <row r="250" spans="18:18">
      <c r="R250" t="s">
        <v>535</v>
      </c>
    </row>
    <row r="251" spans="18:18">
      <c r="R251" t="s">
        <v>536</v>
      </c>
    </row>
    <row r="252" spans="18:18">
      <c r="R252" t="s">
        <v>537</v>
      </c>
    </row>
    <row r="253" spans="18:18">
      <c r="R253" s="10" t="s">
        <v>538</v>
      </c>
    </row>
    <row r="254" spans="18:18">
      <c r="R254" t="s">
        <v>539</v>
      </c>
    </row>
    <row r="255" spans="18:18">
      <c r="R255" t="s">
        <v>540</v>
      </c>
    </row>
    <row r="256" spans="18:18">
      <c r="R256" s="10" t="s">
        <v>541</v>
      </c>
    </row>
    <row r="257" spans="18:18">
      <c r="R257" s="10" t="s">
        <v>542</v>
      </c>
    </row>
    <row r="258" spans="18:18">
      <c r="R258" t="s">
        <v>543</v>
      </c>
    </row>
    <row r="259" spans="18:18">
      <c r="R259" s="10" t="s">
        <v>544</v>
      </c>
    </row>
    <row r="260" spans="18:18">
      <c r="R260" s="11" t="s">
        <v>545</v>
      </c>
    </row>
    <row r="261" spans="18:18">
      <c r="R261" s="11" t="s">
        <v>546</v>
      </c>
    </row>
    <row r="262" spans="18:18">
      <c r="R262" s="11" t="s">
        <v>547</v>
      </c>
    </row>
    <row r="263" spans="18:18">
      <c r="R263" t="s">
        <v>150</v>
      </c>
    </row>
    <row r="265" spans="18:18">
      <c r="R265" t="s">
        <v>548</v>
      </c>
    </row>
    <row r="266" spans="18:18">
      <c r="R266" t="s">
        <v>549</v>
      </c>
    </row>
    <row r="267" spans="18:18">
      <c r="R267" t="s">
        <v>550</v>
      </c>
    </row>
    <row r="268" spans="18:18">
      <c r="R268" t="s">
        <v>551</v>
      </c>
    </row>
    <row r="269" spans="18:18">
      <c r="R269" t="s">
        <v>552</v>
      </c>
    </row>
    <row r="270" spans="18:18">
      <c r="R270" t="s">
        <v>553</v>
      </c>
    </row>
    <row r="271" spans="18:18">
      <c r="R271" t="s">
        <v>554</v>
      </c>
    </row>
    <row r="272" spans="18:18">
      <c r="R272" t="s">
        <v>555</v>
      </c>
    </row>
    <row r="273" spans="18:18">
      <c r="R273" t="s">
        <v>556</v>
      </c>
    </row>
    <row r="274" spans="18:18">
      <c r="R274" t="s">
        <v>557</v>
      </c>
    </row>
    <row r="275" spans="18:18">
      <c r="R275" t="s">
        <v>150</v>
      </c>
    </row>
    <row r="277" spans="18:18">
      <c r="R277" t="s">
        <v>548</v>
      </c>
    </row>
    <row r="278" spans="18:18">
      <c r="R278" t="s">
        <v>549</v>
      </c>
    </row>
    <row r="279" spans="18:18">
      <c r="R279" t="s">
        <v>550</v>
      </c>
    </row>
    <row r="280" spans="18:18">
      <c r="R280" t="s">
        <v>551</v>
      </c>
    </row>
    <row r="281" spans="18:18">
      <c r="R281" t="s">
        <v>552</v>
      </c>
    </row>
    <row r="282" spans="18:18">
      <c r="R282" t="s">
        <v>558</v>
      </c>
    </row>
    <row r="283" spans="18:18">
      <c r="R283" t="s">
        <v>559</v>
      </c>
    </row>
    <row r="284" spans="18:18">
      <c r="R284" t="s">
        <v>554</v>
      </c>
    </row>
    <row r="285" spans="18:18">
      <c r="R285" t="s">
        <v>560</v>
      </c>
    </row>
    <row r="286" spans="18:18">
      <c r="R286" t="s">
        <v>553</v>
      </c>
    </row>
    <row r="287" spans="18:18">
      <c r="R287" t="s">
        <v>561</v>
      </c>
    </row>
    <row r="288" spans="18:18">
      <c r="R288" t="s">
        <v>562</v>
      </c>
    </row>
    <row r="289" spans="18:18">
      <c r="R289" t="s">
        <v>563</v>
      </c>
    </row>
    <row r="290" spans="18:18">
      <c r="R290" t="s">
        <v>564</v>
      </c>
    </row>
    <row r="291" spans="18:18">
      <c r="R291" t="s">
        <v>556</v>
      </c>
    </row>
    <row r="292" spans="18:18">
      <c r="R292" t="s">
        <v>565</v>
      </c>
    </row>
    <row r="293" spans="18:18">
      <c r="R293" t="s">
        <v>566</v>
      </c>
    </row>
    <row r="294" spans="18:18">
      <c r="R294" t="s">
        <v>567</v>
      </c>
    </row>
    <row r="295" spans="18:18">
      <c r="R295" t="s">
        <v>568</v>
      </c>
    </row>
    <row r="296" spans="18:18">
      <c r="R296" t="s">
        <v>150</v>
      </c>
    </row>
    <row r="298" spans="18:18">
      <c r="R298" t="s">
        <v>548</v>
      </c>
    </row>
    <row r="299" spans="18:18">
      <c r="R299" t="s">
        <v>549</v>
      </c>
    </row>
    <row r="300" spans="18:18">
      <c r="R300" t="s">
        <v>550</v>
      </c>
    </row>
    <row r="301" spans="18:18">
      <c r="R301" t="s">
        <v>551</v>
      </c>
    </row>
    <row r="302" spans="18:18">
      <c r="R302" t="s">
        <v>552</v>
      </c>
    </row>
    <row r="303" spans="18:18">
      <c r="R303" t="s">
        <v>553</v>
      </c>
    </row>
    <row r="304" spans="18:18">
      <c r="R304" t="s">
        <v>559</v>
      </c>
    </row>
    <row r="305" spans="18:18">
      <c r="R305" t="s">
        <v>555</v>
      </c>
    </row>
    <row r="306" spans="18:18">
      <c r="R306" t="s">
        <v>562</v>
      </c>
    </row>
    <row r="307" spans="18:18">
      <c r="R307" t="s">
        <v>561</v>
      </c>
    </row>
    <row r="308" spans="18:18">
      <c r="R308" t="s">
        <v>569</v>
      </c>
    </row>
    <row r="309" spans="18:18">
      <c r="R309" t="s">
        <v>570</v>
      </c>
    </row>
    <row r="310" spans="18:18">
      <c r="R310" t="s">
        <v>564</v>
      </c>
    </row>
    <row r="311" spans="18:18">
      <c r="R311" t="s">
        <v>571</v>
      </c>
    </row>
    <row r="312" spans="18:18">
      <c r="R312" t="s">
        <v>572</v>
      </c>
    </row>
    <row r="313" spans="18:18">
      <c r="R313" t="s">
        <v>573</v>
      </c>
    </row>
    <row r="314" spans="18:18">
      <c r="R314" t="s">
        <v>574</v>
      </c>
    </row>
    <row r="315" spans="18:18">
      <c r="R315" t="s">
        <v>150</v>
      </c>
    </row>
    <row r="317" spans="18:18">
      <c r="R317" t="s">
        <v>575</v>
      </c>
    </row>
    <row r="318" spans="18:18">
      <c r="R318" t="s">
        <v>549</v>
      </c>
    </row>
    <row r="319" spans="18:18">
      <c r="R319" t="s">
        <v>550</v>
      </c>
    </row>
    <row r="320" spans="18:18">
      <c r="R320" t="s">
        <v>551</v>
      </c>
    </row>
    <row r="321" spans="18:18">
      <c r="R321" t="s">
        <v>553</v>
      </c>
    </row>
    <row r="322" spans="18:18">
      <c r="R322" t="s">
        <v>548</v>
      </c>
    </row>
    <row r="323" spans="18:18">
      <c r="R323" t="s">
        <v>555</v>
      </c>
    </row>
    <row r="324" spans="18:18">
      <c r="R324" t="s">
        <v>571</v>
      </c>
    </row>
    <row r="325" spans="18:18">
      <c r="R325" t="s">
        <v>567</v>
      </c>
    </row>
    <row r="326" spans="18:18">
      <c r="R326" t="s">
        <v>150</v>
      </c>
    </row>
    <row r="328" spans="18:18">
      <c r="R328" t="s">
        <v>576</v>
      </c>
    </row>
    <row r="329" spans="18:18">
      <c r="R329" t="s">
        <v>577</v>
      </c>
    </row>
    <row r="330" spans="18:18">
      <c r="R330" s="10" t="s">
        <v>578</v>
      </c>
    </row>
    <row r="331" spans="18:18">
      <c r="R331" s="10" t="s">
        <v>579</v>
      </c>
    </row>
    <row r="332" spans="18:18">
      <c r="R332" s="10" t="s">
        <v>580</v>
      </c>
    </row>
    <row r="333" spans="18:18">
      <c r="R333" s="10" t="s">
        <v>581</v>
      </c>
    </row>
    <row r="334" spans="18:18">
      <c r="R334" t="s">
        <v>150</v>
      </c>
    </row>
  </sheetData>
  <autoFilter ref="O1:R338"/>
  <phoneticPr fontId="21" type="noConversion"/>
  <conditionalFormatting sqref="J2:J3">
    <cfRule type="duplicateValues" dxfId="2" priority="3"/>
  </conditionalFormatting>
  <conditionalFormatting sqref="J4:J5">
    <cfRule type="duplicateValues" dxfId="1" priority="2"/>
  </conditionalFormatting>
  <conditionalFormatting sqref="J6:J7">
    <cfRule type="duplicateValues" dxfId="0" priority="1"/>
  </conditionalFormatting>
  <hyperlinks>
    <hyperlink ref="B13" location="测算逻辑1!A1" display="测算逻辑1"/>
    <hyperlink ref="B14" location="测算逻辑2!A1" display="测算逻辑2!A1"/>
  </hyperlink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一五部逻辑汇总</vt:lpstr>
      <vt:lpstr>报价单</vt:lpstr>
      <vt:lpstr>数据集合</vt:lpstr>
      <vt:lpstr>报价单!Print_Area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秦江龙</cp:lastModifiedBy>
  <dcterms:created xsi:type="dcterms:W3CDTF">2015-06-05T18:19:00Z</dcterms:created>
  <dcterms:modified xsi:type="dcterms:W3CDTF">2017-07-11T08:19:58Z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